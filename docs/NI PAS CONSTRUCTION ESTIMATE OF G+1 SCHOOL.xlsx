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G\Desktop\"/>
    </mc:Choice>
  </mc:AlternateContent>
  <bookViews>
    <workbookView xWindow="0" yWindow="0" windowWidth="23040" windowHeight="9195"/>
  </bookViews>
  <sheets>
    <sheet name="Sheet2" sheetId="2" r:id="rId1"/>
    <sheet name="unit cost calculation" sheetId="4" r:id="rId2"/>
  </sheets>
  <definedNames>
    <definedName name="_xlnm.Print_Area" localSheetId="0">Sheet2!$A$1:$F$117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6" i="2" l="1"/>
  <c r="D45" i="2"/>
  <c r="D28" i="2"/>
  <c r="D27" i="2"/>
  <c r="D26" i="2"/>
  <c r="D25" i="2"/>
  <c r="D15" i="2"/>
  <c r="D9" i="2"/>
  <c r="E37" i="2" l="1"/>
  <c r="E36" i="2"/>
  <c r="E35" i="2"/>
  <c r="E34" i="2"/>
  <c r="J33" i="4"/>
  <c r="I33" i="4"/>
  <c r="H33" i="4"/>
  <c r="G33" i="4"/>
  <c r="F33" i="4"/>
  <c r="E33" i="4"/>
  <c r="D33" i="4"/>
  <c r="C33" i="4"/>
  <c r="D32" i="4"/>
  <c r="E32" i="4"/>
  <c r="F32" i="4"/>
  <c r="G32" i="4"/>
  <c r="H32" i="4"/>
  <c r="I32" i="4"/>
  <c r="J32" i="4"/>
  <c r="C32" i="4"/>
  <c r="E24" i="2"/>
  <c r="E23" i="2"/>
  <c r="E22" i="2"/>
  <c r="E21" i="2"/>
  <c r="E15" i="2"/>
  <c r="E13" i="2"/>
  <c r="F12" i="4"/>
  <c r="F11" i="4"/>
  <c r="F10" i="4"/>
  <c r="F8" i="4"/>
  <c r="E12" i="2"/>
  <c r="J29" i="4"/>
  <c r="I29" i="4"/>
  <c r="H29" i="4"/>
  <c r="G29" i="4"/>
  <c r="E29" i="4"/>
  <c r="D29" i="4"/>
  <c r="C29" i="4"/>
  <c r="D28" i="4"/>
  <c r="E28" i="4"/>
  <c r="G28" i="4"/>
  <c r="H28" i="4"/>
  <c r="I28" i="4"/>
  <c r="J28" i="4"/>
  <c r="C28" i="4"/>
  <c r="E24" i="4"/>
  <c r="E25" i="4" s="1"/>
  <c r="J24" i="4"/>
  <c r="J25" i="4" s="1"/>
  <c r="F49" i="2"/>
  <c r="D49" i="2"/>
  <c r="D47" i="2"/>
  <c r="D38" i="2"/>
  <c r="D37" i="2"/>
  <c r="D89" i="2" s="1"/>
  <c r="D36" i="2"/>
  <c r="D35" i="2"/>
  <c r="D34" i="2"/>
  <c r="D24" i="2"/>
  <c r="D17" i="2"/>
  <c r="D18" i="2" s="1"/>
  <c r="D14" i="2"/>
  <c r="D22" i="2"/>
  <c r="D21" i="2"/>
  <c r="D16" i="2"/>
  <c r="D10" i="2" s="1"/>
  <c r="D13" i="2"/>
  <c r="D12" i="2"/>
  <c r="D11" i="2"/>
  <c r="F7" i="2"/>
  <c r="F6" i="2"/>
  <c r="C9" i="4"/>
  <c r="J12" i="4"/>
  <c r="I12" i="4"/>
  <c r="H12" i="4"/>
  <c r="G12" i="4"/>
  <c r="E12" i="4"/>
  <c r="D12" i="4"/>
  <c r="C12" i="4"/>
  <c r="J11" i="4"/>
  <c r="H11" i="4"/>
  <c r="G11" i="4"/>
  <c r="E11" i="4"/>
  <c r="D11" i="4"/>
  <c r="I11" i="4"/>
  <c r="C11" i="4"/>
  <c r="J10" i="4"/>
  <c r="I10" i="4"/>
  <c r="H10" i="4"/>
  <c r="E10" i="4"/>
  <c r="D10" i="4"/>
  <c r="C10" i="4"/>
  <c r="J8" i="4"/>
  <c r="I8" i="4"/>
  <c r="H8" i="4"/>
  <c r="E8" i="4"/>
  <c r="G8" i="4"/>
  <c r="D8" i="4"/>
  <c r="C8" i="4"/>
  <c r="F16" i="4"/>
  <c r="J16" i="4"/>
  <c r="D16" i="4"/>
  <c r="E16" i="4"/>
  <c r="G16" i="4"/>
  <c r="H16" i="4"/>
  <c r="I16" i="4"/>
  <c r="C16" i="4"/>
  <c r="J9" i="4"/>
  <c r="H9" i="4"/>
  <c r="I9" i="4"/>
  <c r="G9" i="4"/>
  <c r="F9" i="4"/>
  <c r="E9" i="4"/>
  <c r="D9" i="4"/>
  <c r="J6" i="4"/>
  <c r="J5" i="4"/>
  <c r="I6" i="4"/>
  <c r="I24" i="4" s="1"/>
  <c r="I25" i="4" s="1"/>
  <c r="I5" i="4"/>
  <c r="H6" i="4"/>
  <c r="H24" i="4" s="1"/>
  <c r="H25" i="4" s="1"/>
  <c r="H5" i="4"/>
  <c r="G6" i="4"/>
  <c r="G24" i="4" s="1"/>
  <c r="G25" i="4" s="1"/>
  <c r="G5" i="4"/>
  <c r="F6" i="4"/>
  <c r="F24" i="4" s="1"/>
  <c r="F25" i="4" s="1"/>
  <c r="F5" i="4"/>
  <c r="E6" i="4"/>
  <c r="E5" i="4"/>
  <c r="D6" i="4"/>
  <c r="D24" i="4" s="1"/>
  <c r="D25" i="4" s="1"/>
  <c r="D5" i="4"/>
  <c r="C6" i="4"/>
  <c r="C24" i="4" s="1"/>
  <c r="C25" i="4" s="1"/>
  <c r="C5" i="4"/>
  <c r="J4" i="4"/>
  <c r="J20" i="4" s="1"/>
  <c r="J21" i="4" s="1"/>
  <c r="I4" i="4"/>
  <c r="I20" i="4" s="1"/>
  <c r="I21" i="4" s="1"/>
  <c r="I22" i="4" s="1"/>
  <c r="H4" i="4"/>
  <c r="H20" i="4" s="1"/>
  <c r="H21" i="4" s="1"/>
  <c r="G4" i="4"/>
  <c r="G20" i="4" s="1"/>
  <c r="G21" i="4" s="1"/>
  <c r="F4" i="4"/>
  <c r="D4" i="4"/>
  <c r="D20" i="4" s="1"/>
  <c r="D21" i="4" s="1"/>
  <c r="E4" i="4"/>
  <c r="E20" i="4" s="1"/>
  <c r="E21" i="4" s="1"/>
  <c r="C4" i="4"/>
  <c r="C20" i="4" s="1"/>
  <c r="D91" i="2" l="1"/>
  <c r="D92" i="2" s="1"/>
  <c r="D90" i="2"/>
  <c r="F20" i="4"/>
  <c r="F21" i="4" s="1"/>
  <c r="F28" i="4"/>
  <c r="F29" i="4" s="1"/>
  <c r="E11" i="2"/>
  <c r="C21" i="4"/>
  <c r="F96" i="2" l="1"/>
  <c r="F95" i="2"/>
  <c r="F65" i="2"/>
  <c r="F66" i="2"/>
  <c r="F79" i="2"/>
  <c r="F81" i="2"/>
  <c r="F55" i="2"/>
  <c r="F42" i="2" l="1"/>
  <c r="F90" i="2" l="1"/>
  <c r="F91" i="2"/>
  <c r="F92" i="2"/>
  <c r="F93" i="2"/>
  <c r="F94" i="2"/>
  <c r="F89" i="2"/>
  <c r="F77" i="2"/>
  <c r="F78" i="2"/>
  <c r="F80" i="2"/>
  <c r="F82" i="2"/>
  <c r="F83" i="2"/>
  <c r="F84" i="2"/>
  <c r="F85" i="2"/>
  <c r="F76" i="2"/>
  <c r="F63" i="2"/>
  <c r="F64" i="2"/>
  <c r="F67" i="2"/>
  <c r="F68" i="2"/>
  <c r="F69" i="2"/>
  <c r="F70" i="2"/>
  <c r="F71" i="2"/>
  <c r="F72" i="2"/>
  <c r="F62" i="2"/>
  <c r="F58" i="2"/>
  <c r="F57" i="2"/>
  <c r="F53" i="2"/>
  <c r="F54" i="2"/>
  <c r="F56" i="2"/>
  <c r="F52" i="2"/>
  <c r="F46" i="2"/>
  <c r="F47" i="2"/>
  <c r="F48" i="2"/>
  <c r="F45" i="2"/>
  <c r="F50" i="2" s="1"/>
  <c r="F35" i="2"/>
  <c r="F36" i="2"/>
  <c r="F37" i="2"/>
  <c r="F38" i="2"/>
  <c r="F39" i="2"/>
  <c r="F40" i="2"/>
  <c r="F41" i="2"/>
  <c r="F34" i="2"/>
  <c r="F22" i="2"/>
  <c r="F23" i="2"/>
  <c r="F24" i="2"/>
  <c r="F25" i="2"/>
  <c r="F26" i="2"/>
  <c r="F27" i="2"/>
  <c r="F28" i="2"/>
  <c r="F29" i="2"/>
  <c r="F30" i="2"/>
  <c r="F31" i="2"/>
  <c r="F21" i="2"/>
  <c r="F10" i="2"/>
  <c r="F11" i="2"/>
  <c r="F12" i="2"/>
  <c r="F13" i="2"/>
  <c r="F14" i="2"/>
  <c r="F15" i="2"/>
  <c r="F16" i="2"/>
  <c r="F17" i="2"/>
  <c r="F18" i="2"/>
  <c r="F9" i="2"/>
  <c r="F97" i="2" l="1"/>
  <c r="D108" i="2" s="1"/>
  <c r="F74" i="2"/>
  <c r="D106" i="2" s="1"/>
  <c r="D104" i="2"/>
  <c r="F32" i="2"/>
  <c r="D102" i="2" s="1"/>
  <c r="F19" i="2"/>
  <c r="D101" i="2" s="1"/>
  <c r="F60" i="2"/>
  <c r="D105" i="2" s="1"/>
  <c r="F87" i="2"/>
  <c r="D107" i="2" s="1"/>
  <c r="F43" i="2"/>
  <c r="D103" i="2" s="1"/>
  <c r="F5" i="2"/>
  <c r="F4" i="2"/>
  <c r="D100" i="2" l="1"/>
  <c r="D109" i="2" s="1"/>
</calcChain>
</file>

<file path=xl/sharedStrings.xml><?xml version="1.0" encoding="utf-8"?>
<sst xmlns="http://schemas.openxmlformats.org/spreadsheetml/2006/main" count="241" uniqueCount="149">
  <si>
    <t>DESIGNATION</t>
  </si>
  <si>
    <t>UNITS</t>
  </si>
  <si>
    <t>QUANTITY</t>
  </si>
  <si>
    <t>UNIT PRICE</t>
  </si>
  <si>
    <t>TOTAL</t>
  </si>
  <si>
    <t>Site Installation</t>
  </si>
  <si>
    <t>TOTAL PREPARATORY WORKS</t>
  </si>
  <si>
    <t>FOUNDATION</t>
  </si>
  <si>
    <t>FF</t>
  </si>
  <si>
    <r>
      <t>Art. N</t>
    </r>
    <r>
      <rPr>
        <b/>
        <vertAlign val="superscript"/>
        <sz val="12"/>
        <color theme="1"/>
        <rFont val="Calibri"/>
        <family val="2"/>
        <scheme val="minor"/>
      </rPr>
      <t>0</t>
    </r>
  </si>
  <si>
    <r>
      <t>Reinforced concrete for footings 350kg/m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</si>
  <si>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Reinforced concrete for foundation pillers 350kg/m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</si>
  <si>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Reinforced concrete for foundation beams 350kg/m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</si>
  <si>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</si>
  <si>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</si>
  <si>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t>TOTAL FOUNDATION</t>
  </si>
  <si>
    <r>
      <t>Reinforced concrete for pillers 350kg/m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</si>
  <si>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Reinforced concrete for Staircase 350kg/m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</si>
  <si>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Lean concrete of thickness 5cm dosed at 150kg/m</t>
    </r>
    <r>
      <rPr>
        <vertAlign val="superscript"/>
        <sz val="11"/>
        <color theme="1"/>
        <rFont val="Calibri"/>
        <family val="2"/>
        <scheme val="minor"/>
      </rPr>
      <t>3</t>
    </r>
  </si>
  <si>
    <t>20cm filled foundation blocks</t>
  </si>
  <si>
    <r>
      <t>Lightly Concreted flooring (7cm) dosed at 250kg/m</t>
    </r>
    <r>
      <rPr>
        <vertAlign val="superscript"/>
        <sz val="11"/>
        <color theme="1"/>
        <rFont val="Calibri"/>
        <family val="2"/>
        <scheme val="minor"/>
      </rPr>
      <t>3</t>
    </r>
  </si>
  <si>
    <t>poltystrene film</t>
  </si>
  <si>
    <t>5cm layer of sand</t>
  </si>
  <si>
    <t>PRILIMINARY WORKS</t>
  </si>
  <si>
    <t>GROUND FLOOR ELEVATION</t>
  </si>
  <si>
    <r>
      <t>Reinforced concrete for beams and lintel 350kg/m</t>
    </r>
    <r>
      <rPr>
        <vertAlign val="superscript"/>
        <sz val="11"/>
        <color theme="1"/>
        <rFont val="Calibri"/>
        <family val="2"/>
        <scheme val="minor"/>
      </rPr>
      <t>3</t>
    </r>
  </si>
  <si>
    <t>15cm sandcrete blocks</t>
  </si>
  <si>
    <t>Floor tiles</t>
  </si>
  <si>
    <t>Wall tiles</t>
  </si>
  <si>
    <t>Staffing</t>
  </si>
  <si>
    <t>TOTAL GROUND FLOOR ELEVATION</t>
  </si>
  <si>
    <t>FIRST FLOOR ELEVATION</t>
  </si>
  <si>
    <t>Backfill of foundation</t>
  </si>
  <si>
    <t>Mortar flooring</t>
  </si>
  <si>
    <t>TOTAL FIRST FLOOR ELEVATION</t>
  </si>
  <si>
    <t>ROOF STRUSS AND COVERING</t>
  </si>
  <si>
    <t>Provision and installation of alumium roofing sheets</t>
  </si>
  <si>
    <t>Installation of other accessories</t>
  </si>
  <si>
    <t>TOTAL ROOF STRUSS AND COVERING</t>
  </si>
  <si>
    <t>WOOD AND METAL WORK FOR OPENINGS</t>
  </si>
  <si>
    <t>TOTAL WOOD AND METAL WORKS</t>
  </si>
  <si>
    <t>Switches</t>
  </si>
  <si>
    <t>Suckets</t>
  </si>
  <si>
    <t>Junction box</t>
  </si>
  <si>
    <t>Flexible conduit</t>
  </si>
  <si>
    <t>1.5mm cable</t>
  </si>
  <si>
    <t>2.5mm cable</t>
  </si>
  <si>
    <t>Supply cable</t>
  </si>
  <si>
    <t>Eneo meter installation</t>
  </si>
  <si>
    <t>ELECTRICITY (To be precised by the electrician)</t>
  </si>
  <si>
    <t>PLUNBING AND SANITARY FIXTURES (To be precised by the Plumbing)</t>
  </si>
  <si>
    <t>Water drainage system</t>
  </si>
  <si>
    <t>TOTAL PLUNBING AND SANITARY FIXTURES</t>
  </si>
  <si>
    <t xml:space="preserve">PAINTING </t>
  </si>
  <si>
    <t>Toilet seats</t>
  </si>
  <si>
    <t>Toilet sinks</t>
  </si>
  <si>
    <t>Shower connection</t>
  </si>
  <si>
    <t>Kitchen Sink and drainage systems</t>
  </si>
  <si>
    <t>Accessories and other installation</t>
  </si>
  <si>
    <t>Septic tank and soak away pit</t>
  </si>
  <si>
    <t>Other accessories</t>
  </si>
  <si>
    <t>Excavation of foundation pits and trenches</t>
  </si>
  <si>
    <t>Plastering for slab dosed at 400kg/m3</t>
  </si>
  <si>
    <t xml:space="preserve">Internal and external pastering (ep =2cm)  dosed at 400kg/m3 </t>
  </si>
  <si>
    <t xml:space="preserve">TOTAL PAINTING </t>
  </si>
  <si>
    <t>Parapet wall</t>
  </si>
  <si>
    <t>ff</t>
  </si>
  <si>
    <t>Wooden doors of 90X210</t>
  </si>
  <si>
    <t>Wooden doors of 150X210</t>
  </si>
  <si>
    <t>U</t>
  </si>
  <si>
    <t>Railings in Iron for balcony</t>
  </si>
  <si>
    <t>Railings in Iron for Staircase</t>
  </si>
  <si>
    <t>ml</t>
  </si>
  <si>
    <t>Rolls</t>
  </si>
  <si>
    <t>Bulds and lighting accessories</t>
  </si>
  <si>
    <t>Preparation of surfaces for painting</t>
  </si>
  <si>
    <t>Pancryl paint for ceiling</t>
  </si>
  <si>
    <t>Verni painting for wood joins and ceiling</t>
  </si>
  <si>
    <t>Pantex 800 water paint for internal walls</t>
  </si>
  <si>
    <t>Pantex 1300 water paint for external walls</t>
  </si>
  <si>
    <t>Impigmentation and white washing</t>
  </si>
  <si>
    <t>SUMMARY</t>
  </si>
  <si>
    <t xml:space="preserve">ELECTRICITY </t>
  </si>
  <si>
    <t>PLUNBING AND SANITARY FIXTURES</t>
  </si>
  <si>
    <r>
      <t>Reinforced concrete Slab 350kg/m</t>
    </r>
    <r>
      <rPr>
        <vertAlign val="superscript"/>
        <sz val="11"/>
        <color theme="1"/>
        <rFont val="Calibri"/>
        <family val="2"/>
        <scheme val="minor"/>
      </rPr>
      <t>3</t>
    </r>
  </si>
  <si>
    <t>Provision and assembly of treated hardwood for struss</t>
  </si>
  <si>
    <t>Provision and assembly of treated hardwood for purlins</t>
  </si>
  <si>
    <t xml:space="preserve">Alunimun/Glass </t>
  </si>
  <si>
    <t>Wooden doors of 75X210</t>
  </si>
  <si>
    <t>Wooden doors of 85X210</t>
  </si>
  <si>
    <t>Bathtups</t>
  </si>
  <si>
    <t xml:space="preserve">Water supply system in (PVC.63 and PVC.100) </t>
  </si>
  <si>
    <t>Toilet Mirrors</t>
  </si>
  <si>
    <t>Chandrelier</t>
  </si>
  <si>
    <t>Decoration</t>
  </si>
  <si>
    <t>Contigencies</t>
  </si>
  <si>
    <t>COST COMPONENT</t>
  </si>
  <si>
    <t>FORMULATION/INPUT</t>
  </si>
  <si>
    <t>COST IN DOUALA</t>
  </si>
  <si>
    <t>COST IN BUEA</t>
  </si>
  <si>
    <t>COST IN LIMBE</t>
  </si>
  <si>
    <t>COST IN BALI</t>
  </si>
  <si>
    <t>COST IN ADAMAWA</t>
  </si>
  <si>
    <t>COST IN YAOUNDE</t>
  </si>
  <si>
    <t>COST IN KRIBI</t>
  </si>
  <si>
    <t>COST IN ABUJA</t>
  </si>
  <si>
    <t>cement 350kg/m3=7bags</t>
  </si>
  <si>
    <t>cement 250kg/m3=5 bags</t>
  </si>
  <si>
    <t>base rate + transport</t>
  </si>
  <si>
    <t>cement 150kg/m3=2 bags</t>
  </si>
  <si>
    <t>sand (0.4m3)</t>
  </si>
  <si>
    <t>river/quary + transport</t>
  </si>
  <si>
    <t>crushed rock + transport</t>
  </si>
  <si>
    <t>gravel (0,8m3)</t>
  </si>
  <si>
    <t>water(180L)</t>
  </si>
  <si>
    <t>tanker/local suply</t>
  </si>
  <si>
    <t>( 1 macon + 3 laborers)</t>
  </si>
  <si>
    <t>labor(mixing and pouring)</t>
  </si>
  <si>
    <t>equipment</t>
  </si>
  <si>
    <t>daily allocation</t>
  </si>
  <si>
    <t>sum of the above</t>
  </si>
  <si>
    <t>inspection</t>
  </si>
  <si>
    <t>through 10 stages</t>
  </si>
  <si>
    <t>DC*1.25</t>
  </si>
  <si>
    <t>overheads +profits(25%)</t>
  </si>
  <si>
    <t>direct cost (DC)</t>
  </si>
  <si>
    <t>steel(HY400)</t>
  </si>
  <si>
    <t>85kg</t>
  </si>
  <si>
    <t>binding wire</t>
  </si>
  <si>
    <t>1.5kg</t>
  </si>
  <si>
    <t>formwork</t>
  </si>
  <si>
    <t>2.5m2 timber</t>
  </si>
  <si>
    <t>poles/ surport/chevron</t>
  </si>
  <si>
    <t>ls</t>
  </si>
  <si>
    <t>labor (bar bending)</t>
  </si>
  <si>
    <t>labor (formwork)</t>
  </si>
  <si>
    <t>iron work</t>
  </si>
  <si>
    <t>CALCULATION OF UNIT COST BASED ON MATERIAL PRICE VARIATION PER REGION.</t>
  </si>
  <si>
    <t>TOTAL COST PUA.</t>
  </si>
  <si>
    <t>XAF/NGN</t>
  </si>
  <si>
    <t>CONSTRUCTION ESTIMATE OF G+1 SCHOOL BUILDING BELONGING TO Mr BABILA Pascal GWANVOMA  (NAKA-BALI NYONGA)</t>
  </si>
  <si>
    <t>Land escavation and levels creation</t>
  </si>
  <si>
    <t>water evaquation and canalysation of flood water</t>
  </si>
  <si>
    <t>m3</t>
  </si>
  <si>
    <t>TOTAL ELECTRICAL WORKS</t>
  </si>
  <si>
    <t>LEAN CONCRETE</t>
  </si>
  <si>
    <t>CONCRETE 250KG</t>
  </si>
  <si>
    <t>MORTAR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</si>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</sst>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_(* #,##0.0_);_(* \(#,##0.0\);_(* &quot;-&quot;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C00000"/>
      <name val="Algerian"/>
      <family val="5"/>
    </font>
    <font>
      <sz val="11"/>
      <color rgb="FFC0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165" fontId="0" fillId="0" borderId="1" xfId="1" applyNumberFormat="1" applyFont="1" applyBorder="1" applyAlignment="1">
      <alignment horizontal="center"/>
    </xf>
    <xf numFmtId="165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1" xfId="0" applyFill="1" applyBorder="1"/>
    <xf numFmtId="0" fontId="2" fillId="0" borderId="1" xfId="0" applyFont="1" applyFill="1" applyBorder="1"/>
    <xf numFmtId="0" fontId="2" fillId="0" borderId="1" xfId="0" applyFont="1" applyFill="1" applyBorder="1" applyAlignment="1"/>
    <xf numFmtId="165" fontId="0" fillId="0" borderId="1" xfId="0" applyNumberFormat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0" borderId="0" xfId="0" applyNumberFormat="1"/>
    <xf numFmtId="166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4" borderId="0" xfId="0" applyFill="1"/>
    <xf numFmtId="0" fontId="7" fillId="4" borderId="0" xfId="0" applyFont="1" applyFill="1"/>
    <xf numFmtId="0" fontId="9" fillId="4" borderId="0" xfId="0" applyFont="1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9"/>
  <sheetViews>
    <sheetView tabSelected="1" zoomScaleNormal="100" workbookViewId="0">
      <selection activeCell="J28" sqref="J1:K28"/>
    </sheetView>
  </sheetViews>
  <sheetFormatPr baseColWidth="10" defaultColWidth="9.140625" defaultRowHeight="15" x14ac:dyDescent="0.25"/>
  <cols>
    <col min="1" max="1" width="7.5703125" style="1" bestFit="1" customWidth="1"/>
    <col min="2" max="2" width="60.85546875" bestFit="1" customWidth="1"/>
    <col min="3" max="3" width="6.5703125" style="1" bestFit="1" customWidth="1"/>
    <col min="4" max="4" width="12.5703125" style="1" bestFit="1" customWidth="1"/>
    <col min="5" max="5" width="11.5703125" bestFit="1" customWidth="1"/>
    <col min="6" max="6" width="12.5703125" bestFit="1" customWidth="1"/>
    <col min="9" max="9" width="10" bestFit="1" customWidth="1"/>
    <col min="10" max="10" width="12.5703125" bestFit="1" customWidth="1"/>
  </cols>
  <sheetData>
    <row r="1" spans="1:10" ht="55.35" customHeight="1" x14ac:dyDescent="0.25">
      <c r="A1" s="36" t="s">
        <v>140</v>
      </c>
      <c r="B1" s="36"/>
      <c r="C1" s="36"/>
      <c r="D1" s="36"/>
      <c r="E1" s="36"/>
      <c r="F1" s="36"/>
    </row>
    <row r="2" spans="1:10" ht="18" x14ac:dyDescent="0.25">
      <c r="A2" s="17" t="s">
        <v>9</v>
      </c>
      <c r="B2" s="3" t="s">
        <v>0</v>
      </c>
      <c r="C2" s="2" t="s">
        <v>1</v>
      </c>
      <c r="D2" s="2" t="s">
        <v>2</v>
      </c>
      <c r="E2" s="3" t="s">
        <v>3</v>
      </c>
      <c r="F2" s="2" t="s">
        <v>4</v>
      </c>
    </row>
    <row r="3" spans="1:10" s="10" customFormat="1" x14ac:dyDescent="0.25">
      <c r="A3" s="18">
        <v>100</v>
      </c>
      <c r="B3" s="5" t="s">
        <v>23</v>
      </c>
      <c r="C3" s="9"/>
      <c r="D3" s="9"/>
      <c r="E3" s="5"/>
      <c r="F3" s="5"/>
    </row>
    <row r="4" spans="1:10" x14ac:dyDescent="0.25">
      <c r="A4" s="19">
        <v>101</v>
      </c>
      <c r="B4" s="6" t="s">
        <v>5</v>
      </c>
      <c r="C4" s="4" t="s">
        <v>8</v>
      </c>
      <c r="D4" s="4">
        <v>1</v>
      </c>
      <c r="E4" s="7">
        <v>200000</v>
      </c>
      <c r="F4" s="7">
        <f>D4*E4</f>
        <v>200000</v>
      </c>
    </row>
    <row r="5" spans="1:10" x14ac:dyDescent="0.25">
      <c r="A5" s="19">
        <v>102</v>
      </c>
      <c r="B5" s="6" t="s">
        <v>141</v>
      </c>
      <c r="C5" s="4" t="s">
        <v>8</v>
      </c>
      <c r="D5" s="4">
        <v>1</v>
      </c>
      <c r="E5" s="7">
        <v>500000</v>
      </c>
      <c r="F5" s="7">
        <f>D5*E5</f>
        <v>500000</v>
      </c>
    </row>
    <row r="6" spans="1:10" x14ac:dyDescent="0.25">
      <c r="A6" s="19">
        <v>103</v>
      </c>
      <c r="B6" s="6" t="s">
        <v>142</v>
      </c>
      <c r="C6" s="4" t="s">
        <v>66</v>
      </c>
      <c r="D6" s="4">
        <v>1</v>
      </c>
      <c r="E6" s="7">
        <v>130000</v>
      </c>
      <c r="F6" s="7">
        <f>D6*E6</f>
        <v>130000</v>
      </c>
    </row>
    <row r="7" spans="1:10" x14ac:dyDescent="0.25">
      <c r="A7" s="19"/>
      <c r="B7" s="37" t="s">
        <v>6</v>
      </c>
      <c r="C7" s="37"/>
      <c r="D7" s="37"/>
      <c r="E7" s="37"/>
      <c r="F7" s="16">
        <f>SUM(F4:F6)</f>
        <v>830000</v>
      </c>
    </row>
    <row r="8" spans="1:10" s="10" customFormat="1" x14ac:dyDescent="0.25">
      <c r="A8" s="18">
        <v>200</v>
      </c>
      <c r="B8" s="5" t="s">
        <v>7</v>
      </c>
      <c r="C8" s="9"/>
      <c r="D8" s="9"/>
      <c r="E8" s="5"/>
      <c r="F8" s="5"/>
    </row>
    <row r="9" spans="1:10" ht="17.25" x14ac:dyDescent="0.25">
      <c r="A9" s="19">
        <v>201</v>
      </c>
      <c r="B9" s="6" t="s">
        <v>61</v>
      </c>
      <c r="C9" s="4" t="s">
        <v>13</v>
      </c>
      <c r="D9" s="4">
        <f>6*4*6*1.3*0.6</f>
        <v>112.32000000000001</v>
      </c>
      <c r="E9" s="7">
        <v>1000</v>
      </c>
      <c r="F9" s="7">
        <f>D9*E9</f>
        <v>112320.00000000001</v>
      </c>
    </row>
    <row r="10" spans="1:10" ht="17.25" x14ac:dyDescent="0.25">
      <c r="A10" s="19">
        <v>202</v>
      </c>
      <c r="B10" s="11" t="s">
        <v>32</v>
      </c>
      <c r="C10" s="4" t="s">
        <v>13</v>
      </c>
      <c r="D10" s="4">
        <f>D9-D11-D12-D13-D16</f>
        <v>59.346000000000004</v>
      </c>
      <c r="E10" s="7">
        <v>500</v>
      </c>
      <c r="F10" s="7">
        <f t="shared" ref="F10:F18" si="0">D10*E10</f>
        <v>29673</v>
      </c>
    </row>
    <row r="11" spans="1:10" ht="17.25" x14ac:dyDescent="0.25">
      <c r="A11" s="19">
        <v>203</v>
      </c>
      <c r="B11" s="6" t="s">
        <v>18</v>
      </c>
      <c r="C11" s="4" t="s">
        <v>13</v>
      </c>
      <c r="D11" s="4">
        <f>6*6*4*0.6*0.05</f>
        <v>4.3199999999999994</v>
      </c>
      <c r="E11" s="7">
        <f>'unit cost calculation'!F24</f>
        <v>38800</v>
      </c>
      <c r="F11" s="7">
        <f t="shared" si="0"/>
        <v>167615.99999999997</v>
      </c>
    </row>
    <row r="12" spans="1:10" ht="17.25" x14ac:dyDescent="0.25">
      <c r="A12" s="19">
        <v>204</v>
      </c>
      <c r="B12" s="6" t="s">
        <v>10</v>
      </c>
      <c r="C12" s="4" t="s">
        <v>13</v>
      </c>
      <c r="D12" s="4">
        <f>1.2*1.2*0.3*27</f>
        <v>11.664</v>
      </c>
      <c r="E12" s="7">
        <f>'unit cost calculation'!F22</f>
        <v>190000</v>
      </c>
      <c r="F12" s="7">
        <f t="shared" si="0"/>
        <v>2216160</v>
      </c>
      <c r="I12" s="21"/>
      <c r="J12" s="20"/>
    </row>
    <row r="13" spans="1:10" ht="17.25" x14ac:dyDescent="0.25">
      <c r="A13" s="19">
        <v>205</v>
      </c>
      <c r="B13" s="6" t="s">
        <v>11</v>
      </c>
      <c r="C13" s="4" t="s">
        <v>13</v>
      </c>
      <c r="D13" s="4">
        <f>0.3*0.25*1.2*27</f>
        <v>2.4299999999999997</v>
      </c>
      <c r="E13" s="7">
        <f>'unit cost calculation'!F22</f>
        <v>190000</v>
      </c>
      <c r="F13" s="7">
        <f t="shared" si="0"/>
        <v>461699.99999999994</v>
      </c>
    </row>
    <row r="14" spans="1:10" ht="17.25" x14ac:dyDescent="0.25">
      <c r="A14" s="19">
        <v>206</v>
      </c>
      <c r="B14" s="6" t="s">
        <v>12</v>
      </c>
      <c r="C14" s="4" t="s">
        <v>13</v>
      </c>
      <c r="D14" s="4">
        <f>(6*6*4)*0.15*0.3</f>
        <v>6.4799999999999995</v>
      </c>
      <c r="E14" s="7">
        <v>180000</v>
      </c>
      <c r="F14" s="7">
        <f t="shared" si="0"/>
        <v>1166400</v>
      </c>
    </row>
    <row r="15" spans="1:10" ht="17.25" x14ac:dyDescent="0.25">
      <c r="A15" s="19">
        <v>207</v>
      </c>
      <c r="B15" s="6" t="s">
        <v>20</v>
      </c>
      <c r="C15" s="4" t="s">
        <v>13</v>
      </c>
      <c r="D15" s="4">
        <f>72*2*0.12</f>
        <v>17.28</v>
      </c>
      <c r="E15" s="7">
        <f>'unit cost calculation'!F29</f>
        <v>71000</v>
      </c>
      <c r="F15" s="7">
        <f t="shared" si="0"/>
        <v>1226880</v>
      </c>
    </row>
    <row r="16" spans="1:10" ht="17.25" x14ac:dyDescent="0.25">
      <c r="A16" s="19">
        <v>208</v>
      </c>
      <c r="B16" s="6" t="s">
        <v>19</v>
      </c>
      <c r="C16" s="4" t="s">
        <v>14</v>
      </c>
      <c r="D16" s="4">
        <f>(6*6*4)*0.2*1.2</f>
        <v>34.56</v>
      </c>
      <c r="E16" s="7">
        <v>1750</v>
      </c>
      <c r="F16" s="7">
        <f t="shared" si="0"/>
        <v>60480.000000000007</v>
      </c>
    </row>
    <row r="17" spans="1:6" ht="17.25" x14ac:dyDescent="0.25">
      <c r="A17" s="19">
        <v>209</v>
      </c>
      <c r="B17" s="6" t="s">
        <v>21</v>
      </c>
      <c r="C17" s="4" t="s">
        <v>14</v>
      </c>
      <c r="D17" s="4">
        <f>D15</f>
        <v>17.28</v>
      </c>
      <c r="E17" s="7">
        <v>1000</v>
      </c>
      <c r="F17" s="7">
        <f t="shared" si="0"/>
        <v>17280</v>
      </c>
    </row>
    <row r="18" spans="1:6" ht="17.25" x14ac:dyDescent="0.25">
      <c r="A18" s="19">
        <v>210</v>
      </c>
      <c r="B18" s="6" t="s">
        <v>22</v>
      </c>
      <c r="C18" s="4" t="s">
        <v>14</v>
      </c>
      <c r="D18" s="4">
        <f>D17</f>
        <v>17.28</v>
      </c>
      <c r="E18" s="7">
        <v>1000</v>
      </c>
      <c r="F18" s="7">
        <f t="shared" si="0"/>
        <v>17280</v>
      </c>
    </row>
    <row r="19" spans="1:6" x14ac:dyDescent="0.25">
      <c r="A19" s="19"/>
      <c r="B19" s="37" t="s">
        <v>15</v>
      </c>
      <c r="C19" s="37"/>
      <c r="D19" s="37"/>
      <c r="E19" s="37"/>
      <c r="F19" s="16">
        <f>SUM(F9:F18)</f>
        <v>5475789</v>
      </c>
    </row>
    <row r="20" spans="1:6" s="10" customFormat="1" x14ac:dyDescent="0.25">
      <c r="A20" s="18">
        <v>300</v>
      </c>
      <c r="B20" s="5" t="s">
        <v>24</v>
      </c>
      <c r="C20" s="9"/>
      <c r="D20" s="9"/>
      <c r="E20" s="5"/>
      <c r="F20" s="5"/>
    </row>
    <row r="21" spans="1:6" ht="17.25" x14ac:dyDescent="0.25">
      <c r="A21" s="19">
        <v>301</v>
      </c>
      <c r="B21" s="6" t="s">
        <v>16</v>
      </c>
      <c r="C21" s="4" t="s">
        <v>13</v>
      </c>
      <c r="D21" s="4">
        <f>0.3*0.25*2.7</f>
        <v>0.20250000000000001</v>
      </c>
      <c r="E21" s="7">
        <f>'unit cost calculation'!F22</f>
        <v>190000</v>
      </c>
      <c r="F21" s="7">
        <f>D21*E21</f>
        <v>38475</v>
      </c>
    </row>
    <row r="22" spans="1:6" ht="17.25" x14ac:dyDescent="0.25">
      <c r="A22" s="19">
        <v>302</v>
      </c>
      <c r="B22" s="6" t="s">
        <v>25</v>
      </c>
      <c r="C22" s="4" t="s">
        <v>13</v>
      </c>
      <c r="D22" s="4">
        <f>D14</f>
        <v>6.4799999999999995</v>
      </c>
      <c r="E22" s="7">
        <f>'unit cost calculation'!F22</f>
        <v>190000</v>
      </c>
      <c r="F22" s="7">
        <f t="shared" ref="F22:F31" si="1">D22*E22</f>
        <v>1231200</v>
      </c>
    </row>
    <row r="23" spans="1:6" ht="17.25" x14ac:dyDescent="0.25">
      <c r="A23" s="19">
        <v>303</v>
      </c>
      <c r="B23" s="6" t="s">
        <v>17</v>
      </c>
      <c r="C23" s="4" t="s">
        <v>13</v>
      </c>
      <c r="D23" s="4">
        <v>5</v>
      </c>
      <c r="E23" s="7">
        <f>'unit cost calculation'!F22</f>
        <v>190000</v>
      </c>
      <c r="F23" s="7">
        <f t="shared" si="1"/>
        <v>950000</v>
      </c>
    </row>
    <row r="24" spans="1:6" ht="17.25" x14ac:dyDescent="0.25">
      <c r="A24" s="19">
        <v>304</v>
      </c>
      <c r="B24" s="6" t="s">
        <v>84</v>
      </c>
      <c r="C24" s="4" t="s">
        <v>13</v>
      </c>
      <c r="D24" s="4">
        <f>D15</f>
        <v>17.28</v>
      </c>
      <c r="E24" s="7">
        <f>'unit cost calculation'!F22</f>
        <v>190000</v>
      </c>
      <c r="F24" s="7">
        <f t="shared" si="1"/>
        <v>3283200</v>
      </c>
    </row>
    <row r="25" spans="1:6" ht="17.25" x14ac:dyDescent="0.25">
      <c r="A25" s="19">
        <v>305</v>
      </c>
      <c r="B25" s="11" t="s">
        <v>26</v>
      </c>
      <c r="C25" s="4" t="s">
        <v>14</v>
      </c>
      <c r="D25" s="4">
        <f>(72*2/0.4)*0.2*13</f>
        <v>936</v>
      </c>
      <c r="E25" s="7">
        <v>1750</v>
      </c>
      <c r="F25" s="7">
        <f t="shared" si="1"/>
        <v>1638000</v>
      </c>
    </row>
    <row r="26" spans="1:6" ht="17.25" x14ac:dyDescent="0.25">
      <c r="A26" s="19">
        <v>306</v>
      </c>
      <c r="B26" s="11" t="s">
        <v>63</v>
      </c>
      <c r="C26" s="4" t="s">
        <v>14</v>
      </c>
      <c r="D26" s="4">
        <f>72*2.7*4</f>
        <v>777.6</v>
      </c>
      <c r="E26" s="7">
        <v>7200</v>
      </c>
      <c r="F26" s="7">
        <f t="shared" si="1"/>
        <v>5598720</v>
      </c>
    </row>
    <row r="27" spans="1:6" ht="17.25" x14ac:dyDescent="0.25">
      <c r="A27" s="19">
        <v>307</v>
      </c>
      <c r="B27" s="11" t="s">
        <v>62</v>
      </c>
      <c r="C27" s="4" t="s">
        <v>14</v>
      </c>
      <c r="D27" s="4">
        <f>72*2</f>
        <v>144</v>
      </c>
      <c r="E27" s="7">
        <v>7200</v>
      </c>
      <c r="F27" s="7">
        <f t="shared" si="1"/>
        <v>1036800</v>
      </c>
    </row>
    <row r="28" spans="1:6" ht="17.25" x14ac:dyDescent="0.25">
      <c r="A28" s="19">
        <v>308</v>
      </c>
      <c r="B28" s="11" t="s">
        <v>33</v>
      </c>
      <c r="C28" s="4" t="s">
        <v>14</v>
      </c>
      <c r="D28" s="4">
        <f>D27*0.02</f>
        <v>2.88</v>
      </c>
      <c r="E28" s="7">
        <v>7200</v>
      </c>
      <c r="F28" s="7">
        <f t="shared" si="1"/>
        <v>20736</v>
      </c>
    </row>
    <row r="29" spans="1:6" ht="17.25" x14ac:dyDescent="0.25">
      <c r="A29" s="19">
        <v>309</v>
      </c>
      <c r="B29" s="11" t="s">
        <v>27</v>
      </c>
      <c r="C29" s="4" t="s">
        <v>14</v>
      </c>
      <c r="D29" s="4">
        <v>36</v>
      </c>
      <c r="E29" s="7">
        <v>10900</v>
      </c>
      <c r="F29" s="7">
        <f t="shared" si="1"/>
        <v>392400</v>
      </c>
    </row>
    <row r="30" spans="1:6" ht="17.25" x14ac:dyDescent="0.25">
      <c r="A30" s="19">
        <v>310</v>
      </c>
      <c r="B30" s="11" t="s">
        <v>28</v>
      </c>
      <c r="C30" s="4" t="s">
        <v>14</v>
      </c>
      <c r="D30" s="4">
        <v>25</v>
      </c>
      <c r="E30" s="7">
        <v>9000</v>
      </c>
      <c r="F30" s="7">
        <f t="shared" si="1"/>
        <v>225000</v>
      </c>
    </row>
    <row r="31" spans="1:6" ht="17.25" x14ac:dyDescent="0.25">
      <c r="A31" s="19">
        <v>311</v>
      </c>
      <c r="B31" s="11" t="s">
        <v>29</v>
      </c>
      <c r="C31" s="4" t="s">
        <v>14</v>
      </c>
      <c r="D31" s="4">
        <v>0</v>
      </c>
      <c r="E31" s="7">
        <v>14000</v>
      </c>
      <c r="F31" s="7">
        <f t="shared" si="1"/>
        <v>0</v>
      </c>
    </row>
    <row r="32" spans="1:6" x14ac:dyDescent="0.25">
      <c r="A32" s="19"/>
      <c r="B32" s="37" t="s">
        <v>30</v>
      </c>
      <c r="C32" s="37"/>
      <c r="D32" s="37"/>
      <c r="E32" s="37"/>
      <c r="F32" s="16">
        <f>SUM(F21:F31)</f>
        <v>14414531</v>
      </c>
    </row>
    <row r="33" spans="1:6" s="10" customFormat="1" x14ac:dyDescent="0.25">
      <c r="A33" s="18">
        <v>400</v>
      </c>
      <c r="B33" s="5" t="s">
        <v>31</v>
      </c>
      <c r="C33" s="9"/>
      <c r="D33" s="9"/>
      <c r="E33" s="5"/>
      <c r="F33" s="5"/>
    </row>
    <row r="34" spans="1:6" ht="17.25" x14ac:dyDescent="0.25">
      <c r="A34" s="19">
        <v>401</v>
      </c>
      <c r="B34" s="6" t="s">
        <v>16</v>
      </c>
      <c r="C34" s="4" t="s">
        <v>13</v>
      </c>
      <c r="D34" s="4">
        <f>D21</f>
        <v>0.20250000000000001</v>
      </c>
      <c r="E34" s="7">
        <f>'unit cost calculation'!F22</f>
        <v>190000</v>
      </c>
      <c r="F34" s="8">
        <f>D34*E34</f>
        <v>38475</v>
      </c>
    </row>
    <row r="35" spans="1:6" ht="17.25" x14ac:dyDescent="0.25">
      <c r="A35" s="19">
        <v>402</v>
      </c>
      <c r="B35" s="6" t="s">
        <v>25</v>
      </c>
      <c r="C35" s="4" t="s">
        <v>13</v>
      </c>
      <c r="D35" s="4">
        <f t="shared" ref="D35" si="2">D22</f>
        <v>6.4799999999999995</v>
      </c>
      <c r="E35" s="7">
        <f>'unit cost calculation'!F22</f>
        <v>190000</v>
      </c>
      <c r="F35" s="8">
        <f t="shared" ref="F35:F42" si="3">D35*E35</f>
        <v>1231200</v>
      </c>
    </row>
    <row r="36" spans="1:6" ht="17.25" x14ac:dyDescent="0.25">
      <c r="A36" s="19">
        <v>403</v>
      </c>
      <c r="B36" s="11" t="s">
        <v>26</v>
      </c>
      <c r="C36" s="4" t="s">
        <v>14</v>
      </c>
      <c r="D36" s="4">
        <f>D25</f>
        <v>936</v>
      </c>
      <c r="E36" s="7">
        <f>E25</f>
        <v>1750</v>
      </c>
      <c r="F36" s="8">
        <f t="shared" si="3"/>
        <v>1638000</v>
      </c>
    </row>
    <row r="37" spans="1:6" ht="17.25" x14ac:dyDescent="0.25">
      <c r="A37" s="19">
        <v>404</v>
      </c>
      <c r="B37" s="11" t="s">
        <v>63</v>
      </c>
      <c r="C37" s="4" t="s">
        <v>14</v>
      </c>
      <c r="D37" s="4">
        <f>D26</f>
        <v>777.6</v>
      </c>
      <c r="E37" s="7">
        <f>E26</f>
        <v>7200</v>
      </c>
      <c r="F37" s="8">
        <f t="shared" si="3"/>
        <v>5598720</v>
      </c>
    </row>
    <row r="38" spans="1:6" ht="17.25" x14ac:dyDescent="0.25">
      <c r="A38" s="19">
        <v>405</v>
      </c>
      <c r="B38" s="11" t="s">
        <v>33</v>
      </c>
      <c r="C38" s="4" t="s">
        <v>14</v>
      </c>
      <c r="D38" s="4">
        <f>D28</f>
        <v>2.88</v>
      </c>
      <c r="E38" s="7">
        <v>10900</v>
      </c>
      <c r="F38" s="8">
        <f t="shared" si="3"/>
        <v>31392</v>
      </c>
    </row>
    <row r="39" spans="1:6" ht="17.25" x14ac:dyDescent="0.25">
      <c r="A39" s="19">
        <v>406</v>
      </c>
      <c r="B39" s="11" t="s">
        <v>27</v>
      </c>
      <c r="C39" s="4" t="s">
        <v>14</v>
      </c>
      <c r="D39" s="4">
        <v>0</v>
      </c>
      <c r="E39" s="7">
        <v>10900</v>
      </c>
      <c r="F39" s="8">
        <f t="shared" si="3"/>
        <v>0</v>
      </c>
    </row>
    <row r="40" spans="1:6" ht="17.25" x14ac:dyDescent="0.25">
      <c r="A40" s="19">
        <v>407</v>
      </c>
      <c r="B40" s="11" t="s">
        <v>28</v>
      </c>
      <c r="C40" s="4" t="s">
        <v>14</v>
      </c>
      <c r="D40" s="4">
        <v>0</v>
      </c>
      <c r="E40" s="7">
        <v>16000</v>
      </c>
      <c r="F40" s="8">
        <f t="shared" si="3"/>
        <v>0</v>
      </c>
    </row>
    <row r="41" spans="1:6" ht="17.25" x14ac:dyDescent="0.25">
      <c r="A41" s="19">
        <v>408</v>
      </c>
      <c r="B41" s="11" t="s">
        <v>29</v>
      </c>
      <c r="C41" s="4" t="s">
        <v>14</v>
      </c>
      <c r="D41" s="4">
        <v>0</v>
      </c>
      <c r="E41" s="7">
        <v>12500</v>
      </c>
      <c r="F41" s="8">
        <f t="shared" si="3"/>
        <v>0</v>
      </c>
    </row>
    <row r="42" spans="1:6" ht="17.25" x14ac:dyDescent="0.25">
      <c r="A42" s="19">
        <v>409</v>
      </c>
      <c r="B42" s="11" t="s">
        <v>65</v>
      </c>
      <c r="C42" s="4" t="s">
        <v>13</v>
      </c>
      <c r="D42" s="4">
        <v>0</v>
      </c>
      <c r="E42" s="6">
        <v>120000</v>
      </c>
      <c r="F42" s="8">
        <f t="shared" si="3"/>
        <v>0</v>
      </c>
    </row>
    <row r="43" spans="1:6" x14ac:dyDescent="0.25">
      <c r="A43" s="19"/>
      <c r="B43" s="37" t="s">
        <v>34</v>
      </c>
      <c r="C43" s="37"/>
      <c r="D43" s="37"/>
      <c r="E43" s="37"/>
      <c r="F43" s="16">
        <f>SUM(F34:F42)</f>
        <v>8537787</v>
      </c>
    </row>
    <row r="44" spans="1:6" s="10" customFormat="1" x14ac:dyDescent="0.25">
      <c r="A44" s="18">
        <v>500</v>
      </c>
      <c r="B44" s="5" t="s">
        <v>35</v>
      </c>
      <c r="C44" s="9"/>
      <c r="D44" s="9"/>
      <c r="E44" s="5"/>
      <c r="F44" s="5"/>
    </row>
    <row r="45" spans="1:6" ht="17.25" x14ac:dyDescent="0.25">
      <c r="A45" s="19">
        <v>501</v>
      </c>
      <c r="B45" s="11" t="s">
        <v>85</v>
      </c>
      <c r="C45" s="4" t="s">
        <v>13</v>
      </c>
      <c r="D45" s="4">
        <f>D27/2.5</f>
        <v>57.6</v>
      </c>
      <c r="E45" s="7">
        <v>3500</v>
      </c>
      <c r="F45" s="7">
        <f>D45*E45</f>
        <v>201600</v>
      </c>
    </row>
    <row r="46" spans="1:6" ht="17.25" x14ac:dyDescent="0.25">
      <c r="A46" s="19">
        <v>502</v>
      </c>
      <c r="B46" s="11" t="s">
        <v>86</v>
      </c>
      <c r="C46" s="4" t="s">
        <v>13</v>
      </c>
      <c r="D46" s="4">
        <f>D27/5</f>
        <v>28.8</v>
      </c>
      <c r="E46" s="7">
        <v>2000</v>
      </c>
      <c r="F46" s="7">
        <f t="shared" ref="F46:F49" si="4">D46*E46</f>
        <v>57600</v>
      </c>
    </row>
    <row r="47" spans="1:6" ht="17.25" x14ac:dyDescent="0.25">
      <c r="A47" s="19">
        <v>503</v>
      </c>
      <c r="B47" s="11" t="s">
        <v>36</v>
      </c>
      <c r="C47" s="4" t="s">
        <v>14</v>
      </c>
      <c r="D47" s="4">
        <f>72*2/3</f>
        <v>48</v>
      </c>
      <c r="E47" s="7">
        <v>7500</v>
      </c>
      <c r="F47" s="7">
        <f t="shared" si="4"/>
        <v>360000</v>
      </c>
    </row>
    <row r="48" spans="1:6" x14ac:dyDescent="0.25">
      <c r="A48" s="19">
        <v>504</v>
      </c>
      <c r="B48" s="11" t="s">
        <v>37</v>
      </c>
      <c r="C48" s="4" t="s">
        <v>66</v>
      </c>
      <c r="D48" s="4">
        <v>1</v>
      </c>
      <c r="E48" s="7">
        <v>250000</v>
      </c>
      <c r="F48" s="7">
        <f t="shared" si="4"/>
        <v>250000</v>
      </c>
    </row>
    <row r="49" spans="1:6" x14ac:dyDescent="0.25">
      <c r="A49" s="19"/>
      <c r="B49" s="11" t="s">
        <v>65</v>
      </c>
      <c r="C49" s="4" t="s">
        <v>143</v>
      </c>
      <c r="D49" s="4">
        <f>3*0.2*(72/0.4)</f>
        <v>108.00000000000001</v>
      </c>
      <c r="E49" s="7">
        <v>780</v>
      </c>
      <c r="F49" s="7">
        <f t="shared" si="4"/>
        <v>84240.000000000015</v>
      </c>
    </row>
    <row r="50" spans="1:6" x14ac:dyDescent="0.25">
      <c r="A50" s="19"/>
      <c r="B50" s="37" t="s">
        <v>38</v>
      </c>
      <c r="C50" s="37"/>
      <c r="D50" s="37"/>
      <c r="E50" s="37"/>
      <c r="F50" s="16">
        <f>SUM(F45:F49)</f>
        <v>953440</v>
      </c>
    </row>
    <row r="51" spans="1:6" s="10" customFormat="1" x14ac:dyDescent="0.25">
      <c r="A51" s="18">
        <v>600</v>
      </c>
      <c r="B51" s="5" t="s">
        <v>39</v>
      </c>
      <c r="C51" s="9"/>
      <c r="D51" s="9"/>
      <c r="E51" s="5"/>
      <c r="F51" s="5"/>
    </row>
    <row r="52" spans="1:6" x14ac:dyDescent="0.25">
      <c r="A52" s="19">
        <v>601</v>
      </c>
      <c r="B52" s="11" t="s">
        <v>88</v>
      </c>
      <c r="C52" s="4" t="s">
        <v>69</v>
      </c>
      <c r="D52" s="4">
        <v>2</v>
      </c>
      <c r="E52" s="7">
        <v>75000</v>
      </c>
      <c r="F52" s="7">
        <f>D52*E52</f>
        <v>150000</v>
      </c>
    </row>
    <row r="53" spans="1:6" x14ac:dyDescent="0.25">
      <c r="A53" s="19">
        <v>602</v>
      </c>
      <c r="B53" s="11" t="s">
        <v>67</v>
      </c>
      <c r="C53" s="4" t="s">
        <v>69</v>
      </c>
      <c r="D53" s="4">
        <v>3</v>
      </c>
      <c r="E53" s="7">
        <v>100000</v>
      </c>
      <c r="F53" s="7">
        <f t="shared" ref="F53:F58" si="5">D53*E53</f>
        <v>300000</v>
      </c>
    </row>
    <row r="54" spans="1:6" x14ac:dyDescent="0.25">
      <c r="A54" s="19">
        <v>603</v>
      </c>
      <c r="B54" s="11" t="s">
        <v>68</v>
      </c>
      <c r="C54" s="4" t="s">
        <v>69</v>
      </c>
      <c r="D54" s="4">
        <v>0</v>
      </c>
      <c r="E54" s="7">
        <v>220000</v>
      </c>
      <c r="F54" s="7">
        <f t="shared" si="5"/>
        <v>0</v>
      </c>
    </row>
    <row r="55" spans="1:6" x14ac:dyDescent="0.25">
      <c r="A55" s="19">
        <v>604</v>
      </c>
      <c r="B55" s="11" t="s">
        <v>89</v>
      </c>
      <c r="C55" s="4" t="s">
        <v>69</v>
      </c>
      <c r="D55" s="4">
        <v>0</v>
      </c>
      <c r="E55" s="7">
        <v>85000</v>
      </c>
      <c r="F55" s="7">
        <f>D55*E55</f>
        <v>0</v>
      </c>
    </row>
    <row r="56" spans="1:6" x14ac:dyDescent="0.25">
      <c r="A56" s="19">
        <v>605</v>
      </c>
      <c r="B56" s="11" t="s">
        <v>87</v>
      </c>
      <c r="C56" s="4" t="s">
        <v>69</v>
      </c>
      <c r="D56" s="4">
        <v>0</v>
      </c>
      <c r="E56" s="7">
        <v>55000</v>
      </c>
      <c r="F56" s="7">
        <f t="shared" si="5"/>
        <v>0</v>
      </c>
    </row>
    <row r="57" spans="1:6" x14ac:dyDescent="0.25">
      <c r="A57" s="19">
        <v>606</v>
      </c>
      <c r="B57" s="11" t="s">
        <v>70</v>
      </c>
      <c r="C57" s="4" t="s">
        <v>72</v>
      </c>
      <c r="D57" s="4">
        <v>36</v>
      </c>
      <c r="E57" s="7">
        <v>24700</v>
      </c>
      <c r="F57" s="7">
        <f t="shared" si="5"/>
        <v>889200</v>
      </c>
    </row>
    <row r="58" spans="1:6" x14ac:dyDescent="0.25">
      <c r="A58" s="19">
        <v>607</v>
      </c>
      <c r="B58" s="11" t="s">
        <v>71</v>
      </c>
      <c r="C58" s="4" t="s">
        <v>72</v>
      </c>
      <c r="D58" s="4">
        <v>8.4</v>
      </c>
      <c r="E58" s="7">
        <v>24700</v>
      </c>
      <c r="F58" s="7">
        <f t="shared" si="5"/>
        <v>207480</v>
      </c>
    </row>
    <row r="59" spans="1:6" x14ac:dyDescent="0.25">
      <c r="A59" s="19"/>
      <c r="B59" s="6"/>
      <c r="C59" s="4"/>
      <c r="D59" s="4"/>
      <c r="E59" s="6"/>
      <c r="F59" s="6"/>
    </row>
    <row r="60" spans="1:6" x14ac:dyDescent="0.25">
      <c r="A60" s="19"/>
      <c r="B60" s="37" t="s">
        <v>40</v>
      </c>
      <c r="C60" s="37"/>
      <c r="D60" s="37"/>
      <c r="E60" s="37"/>
      <c r="F60" s="16">
        <f>SUM(F52:F58)</f>
        <v>1546680</v>
      </c>
    </row>
    <row r="61" spans="1:6" s="10" customFormat="1" x14ac:dyDescent="0.25">
      <c r="A61" s="18">
        <v>700</v>
      </c>
      <c r="B61" s="5" t="s">
        <v>49</v>
      </c>
      <c r="C61" s="9"/>
      <c r="D61" s="9"/>
      <c r="E61" s="5"/>
      <c r="F61" s="5"/>
    </row>
    <row r="62" spans="1:6" x14ac:dyDescent="0.25">
      <c r="A62" s="19">
        <v>701</v>
      </c>
      <c r="B62" s="11" t="s">
        <v>41</v>
      </c>
      <c r="C62" s="4" t="s">
        <v>69</v>
      </c>
      <c r="D62" s="4">
        <v>30</v>
      </c>
      <c r="E62" s="7">
        <v>1000</v>
      </c>
      <c r="F62" s="7">
        <f>D62*E62</f>
        <v>30000</v>
      </c>
    </row>
    <row r="63" spans="1:6" x14ac:dyDescent="0.25">
      <c r="A63" s="19">
        <v>702</v>
      </c>
      <c r="B63" s="11" t="s">
        <v>42</v>
      </c>
      <c r="C63" s="4" t="s">
        <v>69</v>
      </c>
      <c r="D63" s="4">
        <v>27</v>
      </c>
      <c r="E63" s="7">
        <v>800</v>
      </c>
      <c r="F63" s="7">
        <f t="shared" ref="F63:F72" si="6">D63*E63</f>
        <v>21600</v>
      </c>
    </row>
    <row r="64" spans="1:6" x14ac:dyDescent="0.25">
      <c r="A64" s="19">
        <v>703</v>
      </c>
      <c r="B64" s="11" t="s">
        <v>43</v>
      </c>
      <c r="C64" s="4" t="s">
        <v>69</v>
      </c>
      <c r="D64" s="4">
        <v>4</v>
      </c>
      <c r="E64" s="7">
        <v>25000</v>
      </c>
      <c r="F64" s="7">
        <f t="shared" si="6"/>
        <v>100000</v>
      </c>
    </row>
    <row r="65" spans="1:6" x14ac:dyDescent="0.25">
      <c r="A65" s="19">
        <v>704</v>
      </c>
      <c r="B65" s="11" t="s">
        <v>93</v>
      </c>
      <c r="C65" s="4" t="s">
        <v>69</v>
      </c>
      <c r="D65" s="4">
        <v>1</v>
      </c>
      <c r="E65" s="7">
        <v>350000</v>
      </c>
      <c r="F65" s="7">
        <f t="shared" si="6"/>
        <v>350000</v>
      </c>
    </row>
    <row r="66" spans="1:6" x14ac:dyDescent="0.25">
      <c r="A66" s="19">
        <v>705</v>
      </c>
      <c r="B66" s="11" t="s">
        <v>74</v>
      </c>
      <c r="C66" s="4" t="s">
        <v>69</v>
      </c>
      <c r="D66" s="4">
        <v>40</v>
      </c>
      <c r="E66" s="7">
        <v>2500</v>
      </c>
      <c r="F66" s="7">
        <f t="shared" si="6"/>
        <v>100000</v>
      </c>
    </row>
    <row r="67" spans="1:6" x14ac:dyDescent="0.25">
      <c r="A67" s="19">
        <v>706</v>
      </c>
      <c r="B67" s="11" t="s">
        <v>44</v>
      </c>
      <c r="C67" s="4" t="s">
        <v>73</v>
      </c>
      <c r="D67" s="4">
        <v>40</v>
      </c>
      <c r="E67" s="7">
        <v>16500</v>
      </c>
      <c r="F67" s="7">
        <f t="shared" si="6"/>
        <v>660000</v>
      </c>
    </row>
    <row r="68" spans="1:6" x14ac:dyDescent="0.25">
      <c r="A68" s="19">
        <v>707</v>
      </c>
      <c r="B68" s="11" t="s">
        <v>45</v>
      </c>
      <c r="C68" s="4" t="s">
        <v>73</v>
      </c>
      <c r="D68" s="4">
        <v>30</v>
      </c>
      <c r="E68" s="7">
        <v>11500</v>
      </c>
      <c r="F68" s="7">
        <f t="shared" si="6"/>
        <v>345000</v>
      </c>
    </row>
    <row r="69" spans="1:6" x14ac:dyDescent="0.25">
      <c r="A69" s="19">
        <v>708</v>
      </c>
      <c r="B69" s="11" t="s">
        <v>46</v>
      </c>
      <c r="C69" s="4" t="s">
        <v>73</v>
      </c>
      <c r="D69" s="4">
        <v>20</v>
      </c>
      <c r="E69" s="7">
        <v>17000</v>
      </c>
      <c r="F69" s="7">
        <f t="shared" si="6"/>
        <v>340000</v>
      </c>
    </row>
    <row r="70" spans="1:6" x14ac:dyDescent="0.25">
      <c r="A70" s="19">
        <v>709</v>
      </c>
      <c r="B70" s="11" t="s">
        <v>47</v>
      </c>
      <c r="C70" s="4" t="s">
        <v>73</v>
      </c>
      <c r="D70" s="4">
        <v>1</v>
      </c>
      <c r="E70" s="7">
        <v>30000</v>
      </c>
      <c r="F70" s="7">
        <f t="shared" si="6"/>
        <v>30000</v>
      </c>
    </row>
    <row r="71" spans="1:6" x14ac:dyDescent="0.25">
      <c r="A71" s="19">
        <v>710</v>
      </c>
      <c r="B71" s="11" t="s">
        <v>48</v>
      </c>
      <c r="C71" s="4" t="s">
        <v>8</v>
      </c>
      <c r="D71" s="4">
        <v>1</v>
      </c>
      <c r="E71" s="7">
        <v>150000</v>
      </c>
      <c r="F71" s="7">
        <f t="shared" si="6"/>
        <v>150000</v>
      </c>
    </row>
    <row r="72" spans="1:6" x14ac:dyDescent="0.25">
      <c r="A72" s="19">
        <v>711</v>
      </c>
      <c r="B72" s="11" t="s">
        <v>60</v>
      </c>
      <c r="C72" s="4" t="s">
        <v>8</v>
      </c>
      <c r="D72" s="4">
        <v>1</v>
      </c>
      <c r="E72" s="7">
        <v>200000</v>
      </c>
      <c r="F72" s="7">
        <f t="shared" si="6"/>
        <v>200000</v>
      </c>
    </row>
    <row r="73" spans="1:6" x14ac:dyDescent="0.25">
      <c r="A73" s="19"/>
      <c r="B73" s="6"/>
      <c r="C73" s="4"/>
      <c r="D73" s="4"/>
      <c r="E73" s="6"/>
      <c r="F73" s="6"/>
    </row>
    <row r="74" spans="1:6" x14ac:dyDescent="0.25">
      <c r="A74" s="19"/>
      <c r="B74" s="37" t="s">
        <v>144</v>
      </c>
      <c r="C74" s="37"/>
      <c r="D74" s="37"/>
      <c r="E74" s="37"/>
      <c r="F74" s="16">
        <f>SUM(F62:F72)</f>
        <v>2326600</v>
      </c>
    </row>
    <row r="75" spans="1:6" s="10" customFormat="1" x14ac:dyDescent="0.25">
      <c r="A75" s="18">
        <v>800</v>
      </c>
      <c r="B75" s="5" t="s">
        <v>50</v>
      </c>
      <c r="C75" s="9"/>
      <c r="D75" s="9"/>
      <c r="E75" s="5"/>
      <c r="F75" s="5"/>
    </row>
    <row r="76" spans="1:6" x14ac:dyDescent="0.25">
      <c r="A76" s="19">
        <v>801</v>
      </c>
      <c r="B76" s="11" t="s">
        <v>91</v>
      </c>
      <c r="C76" s="4" t="s">
        <v>8</v>
      </c>
      <c r="D76" s="4">
        <v>1</v>
      </c>
      <c r="E76" s="7">
        <v>250000</v>
      </c>
      <c r="F76" s="7">
        <f>D76*E76</f>
        <v>250000</v>
      </c>
    </row>
    <row r="77" spans="1:6" x14ac:dyDescent="0.25">
      <c r="A77" s="19">
        <v>802</v>
      </c>
      <c r="B77" s="11" t="s">
        <v>51</v>
      </c>
      <c r="C77" s="4" t="s">
        <v>8</v>
      </c>
      <c r="D77" s="4">
        <v>1</v>
      </c>
      <c r="E77" s="7">
        <v>300000</v>
      </c>
      <c r="F77" s="7">
        <f t="shared" ref="F77:F85" si="7">D77*E77</f>
        <v>300000</v>
      </c>
    </row>
    <row r="78" spans="1:6" x14ac:dyDescent="0.25">
      <c r="A78" s="19">
        <v>803</v>
      </c>
      <c r="B78" s="11" t="s">
        <v>54</v>
      </c>
      <c r="C78" s="4" t="s">
        <v>69</v>
      </c>
      <c r="D78" s="4">
        <v>3</v>
      </c>
      <c r="E78" s="7">
        <v>120000</v>
      </c>
      <c r="F78" s="7">
        <f t="shared" si="7"/>
        <v>360000</v>
      </c>
    </row>
    <row r="79" spans="1:6" x14ac:dyDescent="0.25">
      <c r="A79" s="19">
        <v>804</v>
      </c>
      <c r="B79" s="11" t="s">
        <v>92</v>
      </c>
      <c r="C79" s="4" t="s">
        <v>69</v>
      </c>
      <c r="D79" s="4">
        <v>0</v>
      </c>
      <c r="E79" s="7">
        <v>120000</v>
      </c>
      <c r="F79" s="7">
        <f t="shared" ref="F79" si="8">D79*E79</f>
        <v>0</v>
      </c>
    </row>
    <row r="80" spans="1:6" x14ac:dyDescent="0.25">
      <c r="A80" s="19">
        <v>805</v>
      </c>
      <c r="B80" s="11" t="s">
        <v>55</v>
      </c>
      <c r="C80" s="4" t="s">
        <v>69</v>
      </c>
      <c r="D80" s="4">
        <v>3</v>
      </c>
      <c r="E80" s="7">
        <v>15000</v>
      </c>
      <c r="F80" s="7">
        <f t="shared" si="7"/>
        <v>45000</v>
      </c>
    </row>
    <row r="81" spans="1:6" x14ac:dyDescent="0.25">
      <c r="A81" s="19">
        <v>806</v>
      </c>
      <c r="B81" s="11" t="s">
        <v>90</v>
      </c>
      <c r="C81" s="4" t="s">
        <v>69</v>
      </c>
      <c r="D81" s="4">
        <v>0</v>
      </c>
      <c r="E81" s="7">
        <v>1500000</v>
      </c>
      <c r="F81" s="7">
        <f t="shared" ref="F81" si="9">D81*E81</f>
        <v>0</v>
      </c>
    </row>
    <row r="82" spans="1:6" x14ac:dyDescent="0.25">
      <c r="A82" s="19">
        <v>807</v>
      </c>
      <c r="B82" s="11" t="s">
        <v>56</v>
      </c>
      <c r="C82" s="4" t="s">
        <v>69</v>
      </c>
      <c r="D82" s="4">
        <v>0</v>
      </c>
      <c r="E82" s="7">
        <v>25000</v>
      </c>
      <c r="F82" s="7">
        <f t="shared" si="7"/>
        <v>0</v>
      </c>
    </row>
    <row r="83" spans="1:6" x14ac:dyDescent="0.25">
      <c r="A83" s="19">
        <v>808</v>
      </c>
      <c r="B83" s="11" t="s">
        <v>57</v>
      </c>
      <c r="C83" s="4" t="s">
        <v>69</v>
      </c>
      <c r="D83" s="4">
        <v>0</v>
      </c>
      <c r="E83" s="7">
        <v>200000</v>
      </c>
      <c r="F83" s="7">
        <f t="shared" si="7"/>
        <v>0</v>
      </c>
    </row>
    <row r="84" spans="1:6" x14ac:dyDescent="0.25">
      <c r="A84" s="19">
        <v>809</v>
      </c>
      <c r="B84" s="11" t="s">
        <v>58</v>
      </c>
      <c r="C84" s="4" t="s">
        <v>8</v>
      </c>
      <c r="D84" s="4">
        <v>1</v>
      </c>
      <c r="E84" s="7">
        <v>300000</v>
      </c>
      <c r="F84" s="7">
        <f t="shared" si="7"/>
        <v>300000</v>
      </c>
    </row>
    <row r="85" spans="1:6" x14ac:dyDescent="0.25">
      <c r="A85" s="19">
        <v>810</v>
      </c>
      <c r="B85" s="11" t="s">
        <v>59</v>
      </c>
      <c r="C85" s="4" t="s">
        <v>8</v>
      </c>
      <c r="D85" s="4">
        <v>1</v>
      </c>
      <c r="E85" s="7">
        <v>1000000</v>
      </c>
      <c r="F85" s="7">
        <f t="shared" si="7"/>
        <v>1000000</v>
      </c>
    </row>
    <row r="86" spans="1:6" x14ac:dyDescent="0.25">
      <c r="A86" s="19"/>
      <c r="B86" s="6"/>
      <c r="C86" s="4"/>
      <c r="D86" s="4"/>
      <c r="E86" s="6"/>
      <c r="F86" s="6"/>
    </row>
    <row r="87" spans="1:6" x14ac:dyDescent="0.25">
      <c r="A87" s="19"/>
      <c r="B87" s="37" t="s">
        <v>52</v>
      </c>
      <c r="C87" s="37"/>
      <c r="D87" s="37"/>
      <c r="E87" s="37"/>
      <c r="F87" s="16">
        <f>SUM(F76:F85)</f>
        <v>2255000</v>
      </c>
    </row>
    <row r="88" spans="1:6" s="10" customFormat="1" x14ac:dyDescent="0.25">
      <c r="A88" s="18">
        <v>900</v>
      </c>
      <c r="B88" s="5" t="s">
        <v>53</v>
      </c>
      <c r="C88" s="9"/>
      <c r="D88" s="9"/>
      <c r="E88" s="5"/>
      <c r="F88" s="5"/>
    </row>
    <row r="89" spans="1:6" ht="17.25" x14ac:dyDescent="0.25">
      <c r="A89" s="19">
        <v>901</v>
      </c>
      <c r="B89" s="11" t="s">
        <v>75</v>
      </c>
      <c r="C89" s="4" t="s">
        <v>14</v>
      </c>
      <c r="D89" s="4">
        <f>D37*2</f>
        <v>1555.2</v>
      </c>
      <c r="E89" s="7">
        <v>200</v>
      </c>
      <c r="F89" s="7">
        <f>D89*E89</f>
        <v>311040</v>
      </c>
    </row>
    <row r="90" spans="1:6" ht="17.25" x14ac:dyDescent="0.25">
      <c r="A90" s="19">
        <v>902</v>
      </c>
      <c r="B90" s="11" t="s">
        <v>80</v>
      </c>
      <c r="C90" s="4" t="s">
        <v>14</v>
      </c>
      <c r="D90" s="4">
        <f>D89</f>
        <v>1555.2</v>
      </c>
      <c r="E90" s="7">
        <v>500</v>
      </c>
      <c r="F90" s="7">
        <f t="shared" ref="F90:F96" si="10">D90*E90</f>
        <v>777600</v>
      </c>
    </row>
    <row r="91" spans="1:6" ht="17.25" x14ac:dyDescent="0.25">
      <c r="A91" s="19">
        <v>903</v>
      </c>
      <c r="B91" s="11" t="s">
        <v>79</v>
      </c>
      <c r="C91" s="4" t="s">
        <v>14</v>
      </c>
      <c r="D91" s="4">
        <f>D89/2</f>
        <v>777.6</v>
      </c>
      <c r="E91" s="7">
        <v>2200</v>
      </c>
      <c r="F91" s="7">
        <f t="shared" si="10"/>
        <v>1710720</v>
      </c>
    </row>
    <row r="92" spans="1:6" ht="17.25" x14ac:dyDescent="0.25">
      <c r="A92" s="19">
        <v>904</v>
      </c>
      <c r="B92" s="11" t="s">
        <v>78</v>
      </c>
      <c r="C92" s="4" t="s">
        <v>14</v>
      </c>
      <c r="D92" s="4">
        <f>D91</f>
        <v>777.6</v>
      </c>
      <c r="E92" s="7">
        <v>1800</v>
      </c>
      <c r="F92" s="7">
        <f t="shared" si="10"/>
        <v>1399680</v>
      </c>
    </row>
    <row r="93" spans="1:6" ht="17.25" x14ac:dyDescent="0.25">
      <c r="A93" s="19">
        <v>905</v>
      </c>
      <c r="B93" s="11" t="s">
        <v>76</v>
      </c>
      <c r="C93" s="4" t="s">
        <v>14</v>
      </c>
      <c r="D93" s="4">
        <v>0</v>
      </c>
      <c r="E93" s="7">
        <v>1600</v>
      </c>
      <c r="F93" s="7">
        <f t="shared" si="10"/>
        <v>0</v>
      </c>
    </row>
    <row r="94" spans="1:6" ht="17.25" x14ac:dyDescent="0.25">
      <c r="A94" s="19">
        <v>906</v>
      </c>
      <c r="B94" s="11" t="s">
        <v>77</v>
      </c>
      <c r="C94" s="4" t="s">
        <v>14</v>
      </c>
      <c r="D94" s="4">
        <v>50</v>
      </c>
      <c r="E94" s="7">
        <v>3500</v>
      </c>
      <c r="F94" s="7">
        <f t="shared" si="10"/>
        <v>175000</v>
      </c>
    </row>
    <row r="95" spans="1:6" x14ac:dyDescent="0.25">
      <c r="A95" s="19">
        <v>907</v>
      </c>
      <c r="B95" s="11" t="s">
        <v>94</v>
      </c>
      <c r="C95" s="4" t="s">
        <v>8</v>
      </c>
      <c r="D95" s="4">
        <v>1</v>
      </c>
      <c r="E95" s="7">
        <v>500000</v>
      </c>
      <c r="F95" s="7">
        <f t="shared" si="10"/>
        <v>500000</v>
      </c>
    </row>
    <row r="96" spans="1:6" x14ac:dyDescent="0.25">
      <c r="A96" s="19">
        <v>908</v>
      </c>
      <c r="B96" s="6" t="s">
        <v>95</v>
      </c>
      <c r="C96" s="4" t="s">
        <v>8</v>
      </c>
      <c r="D96" s="4">
        <v>1</v>
      </c>
      <c r="E96" s="6">
        <v>1000000</v>
      </c>
      <c r="F96" s="7">
        <f t="shared" si="10"/>
        <v>1000000</v>
      </c>
    </row>
    <row r="97" spans="1:6" x14ac:dyDescent="0.25">
      <c r="A97" s="19"/>
      <c r="B97" s="37" t="s">
        <v>64</v>
      </c>
      <c r="C97" s="37"/>
      <c r="D97" s="37"/>
      <c r="E97" s="37"/>
      <c r="F97" s="16">
        <f>SUM(F89:F96)</f>
        <v>5874040</v>
      </c>
    </row>
    <row r="99" spans="1:6" ht="15.75" x14ac:dyDescent="0.25">
      <c r="A99" s="19"/>
      <c r="B99" s="34" t="s">
        <v>81</v>
      </c>
      <c r="C99" s="34"/>
      <c r="D99" s="34"/>
    </row>
    <row r="100" spans="1:6" x14ac:dyDescent="0.25">
      <c r="A100" s="18">
        <v>100</v>
      </c>
      <c r="B100" s="13" t="s">
        <v>23</v>
      </c>
      <c r="C100" s="13"/>
      <c r="D100" s="14">
        <f>F7</f>
        <v>830000</v>
      </c>
    </row>
    <row r="101" spans="1:6" x14ac:dyDescent="0.25">
      <c r="A101" s="18">
        <v>200</v>
      </c>
      <c r="B101" s="12" t="s">
        <v>7</v>
      </c>
      <c r="C101" s="4"/>
      <c r="D101" s="14">
        <f>F19</f>
        <v>5475789</v>
      </c>
    </row>
    <row r="102" spans="1:6" x14ac:dyDescent="0.25">
      <c r="A102" s="18">
        <v>300</v>
      </c>
      <c r="B102" s="12" t="s">
        <v>24</v>
      </c>
      <c r="C102" s="4"/>
      <c r="D102" s="14">
        <f>F32</f>
        <v>14414531</v>
      </c>
    </row>
    <row r="103" spans="1:6" x14ac:dyDescent="0.25">
      <c r="A103" s="18">
        <v>400</v>
      </c>
      <c r="B103" s="12" t="s">
        <v>31</v>
      </c>
      <c r="C103" s="4"/>
      <c r="D103" s="14">
        <f>F43</f>
        <v>8537787</v>
      </c>
    </row>
    <row r="104" spans="1:6" x14ac:dyDescent="0.25">
      <c r="A104" s="18">
        <v>500</v>
      </c>
      <c r="B104" s="12" t="s">
        <v>35</v>
      </c>
      <c r="C104" s="4"/>
      <c r="D104" s="14">
        <f>F50</f>
        <v>953440</v>
      </c>
    </row>
    <row r="105" spans="1:6" x14ac:dyDescent="0.25">
      <c r="A105" s="18">
        <v>600</v>
      </c>
      <c r="B105" s="12" t="s">
        <v>39</v>
      </c>
      <c r="C105" s="4"/>
      <c r="D105" s="14">
        <f>F60</f>
        <v>1546680</v>
      </c>
    </row>
    <row r="106" spans="1:6" x14ac:dyDescent="0.25">
      <c r="A106" s="18">
        <v>700</v>
      </c>
      <c r="B106" s="12" t="s">
        <v>82</v>
      </c>
      <c r="C106" s="4"/>
      <c r="D106" s="14">
        <f>F74</f>
        <v>2326600</v>
      </c>
    </row>
    <row r="107" spans="1:6" x14ac:dyDescent="0.25">
      <c r="A107" s="18">
        <v>800</v>
      </c>
      <c r="B107" s="12" t="s">
        <v>83</v>
      </c>
      <c r="C107" s="4"/>
      <c r="D107" s="14">
        <f>F87</f>
        <v>2255000</v>
      </c>
    </row>
    <row r="108" spans="1:6" x14ac:dyDescent="0.25">
      <c r="A108" s="18">
        <v>900</v>
      </c>
      <c r="B108" s="12" t="s">
        <v>53</v>
      </c>
      <c r="C108" s="4"/>
      <c r="D108" s="14">
        <f>F97</f>
        <v>5874040</v>
      </c>
      <c r="E108" s="22"/>
      <c r="F108" s="23"/>
    </row>
    <row r="109" spans="1:6" ht="15.75" x14ac:dyDescent="0.25">
      <c r="A109" s="19"/>
      <c r="B109" s="35" t="s">
        <v>4</v>
      </c>
      <c r="C109" s="35"/>
      <c r="D109" s="15">
        <f>SUM(D100:D108)</f>
        <v>42213867</v>
      </c>
    </row>
  </sheetData>
  <mergeCells count="12">
    <mergeCell ref="B99:D99"/>
    <mergeCell ref="B109:C109"/>
    <mergeCell ref="A1:F1"/>
    <mergeCell ref="B60:E60"/>
    <mergeCell ref="B74:E74"/>
    <mergeCell ref="B87:E87"/>
    <mergeCell ref="B97:E97"/>
    <mergeCell ref="B19:E19"/>
    <mergeCell ref="B32:E32"/>
    <mergeCell ref="B43:E43"/>
    <mergeCell ref="B50:E50"/>
    <mergeCell ref="B7:E7"/>
  </mergeCells>
  <pageMargins left="0.4" right="0.25" top="0.5" bottom="0.25" header="0.3" footer="0.3"/>
  <pageSetup paperSize="9" scale="86" fitToHeight="0" orientation="portrait" r:id="rId1"/>
  <rowBreaks count="2" manualBreakCount="2">
    <brk id="50" max="5" man="1"/>
    <brk id="97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activeCell="C11" sqref="C11"/>
    </sheetView>
  </sheetViews>
  <sheetFormatPr baseColWidth="10" defaultRowHeight="15" x14ac:dyDescent="0.25"/>
  <cols>
    <col min="1" max="1" width="25.42578125" customWidth="1"/>
    <col min="2" max="2" width="23.5703125" customWidth="1"/>
    <col min="3" max="3" width="16.5703125" customWidth="1"/>
    <col min="4" max="4" width="13.85546875" customWidth="1"/>
    <col min="5" max="5" width="14.42578125" customWidth="1"/>
    <col min="6" max="6" width="12.5703125" style="27" customWidth="1"/>
    <col min="7" max="7" width="18.42578125" customWidth="1"/>
    <col min="8" max="8" width="16.5703125" customWidth="1"/>
    <col min="9" max="9" width="13.85546875" customWidth="1"/>
    <col min="10" max="10" width="16.140625" customWidth="1"/>
  </cols>
  <sheetData>
    <row r="1" spans="1:10" ht="15.75" x14ac:dyDescent="0.25">
      <c r="A1" s="25" t="s">
        <v>137</v>
      </c>
    </row>
    <row r="3" spans="1:10" x14ac:dyDescent="0.25">
      <c r="A3" t="s">
        <v>96</v>
      </c>
      <c r="B3" t="s">
        <v>97</v>
      </c>
      <c r="C3" t="s">
        <v>98</v>
      </c>
      <c r="D3" t="s">
        <v>99</v>
      </c>
      <c r="E3" t="s">
        <v>100</v>
      </c>
      <c r="F3" s="27" t="s">
        <v>101</v>
      </c>
      <c r="G3" t="s">
        <v>102</v>
      </c>
      <c r="H3" t="s">
        <v>103</v>
      </c>
      <c r="I3" t="s">
        <v>104</v>
      </c>
      <c r="J3" t="s">
        <v>105</v>
      </c>
    </row>
    <row r="4" spans="1:10" x14ac:dyDescent="0.25">
      <c r="A4" t="s">
        <v>106</v>
      </c>
      <c r="B4" t="s">
        <v>108</v>
      </c>
      <c r="C4">
        <f>7*5000</f>
        <v>35000</v>
      </c>
      <c r="D4">
        <f>7*5500</f>
        <v>38500</v>
      </c>
      <c r="E4">
        <f>7*5400</f>
        <v>37800</v>
      </c>
      <c r="F4" s="27">
        <f>7*6000</f>
        <v>42000</v>
      </c>
      <c r="G4">
        <f>7*6500</f>
        <v>45500</v>
      </c>
      <c r="H4">
        <f>7*5000</f>
        <v>35000</v>
      </c>
      <c r="I4">
        <f>7*4900</f>
        <v>34300</v>
      </c>
      <c r="J4">
        <f>7*11000</f>
        <v>77000</v>
      </c>
    </row>
    <row r="5" spans="1:10" x14ac:dyDescent="0.25">
      <c r="A5" s="24" t="s">
        <v>107</v>
      </c>
      <c r="B5" s="24" t="s">
        <v>108</v>
      </c>
      <c r="C5" s="24">
        <f>5*5000</f>
        <v>25000</v>
      </c>
      <c r="D5" s="24">
        <f>5*5500</f>
        <v>27500</v>
      </c>
      <c r="E5" s="24">
        <f>5*5400</f>
        <v>27000</v>
      </c>
      <c r="F5" s="28">
        <f>5*6000</f>
        <v>30000</v>
      </c>
      <c r="G5" s="24">
        <f>5*6500</f>
        <v>32500</v>
      </c>
      <c r="H5" s="24">
        <f>5*5000</f>
        <v>25000</v>
      </c>
      <c r="I5" s="24">
        <f>5*4900</f>
        <v>24500</v>
      </c>
      <c r="J5" s="24">
        <f>5*11000</f>
        <v>55000</v>
      </c>
    </row>
    <row r="6" spans="1:10" x14ac:dyDescent="0.25">
      <c r="A6" s="24" t="s">
        <v>109</v>
      </c>
      <c r="B6" s="24" t="s">
        <v>108</v>
      </c>
      <c r="C6" s="24">
        <f>2*5000</f>
        <v>10000</v>
      </c>
      <c r="D6" s="24">
        <f>2*5500</f>
        <v>11000</v>
      </c>
      <c r="E6" s="24">
        <f>2*5400</f>
        <v>10800</v>
      </c>
      <c r="F6" s="28">
        <f>2*6000</f>
        <v>12000</v>
      </c>
      <c r="G6" s="24">
        <f>2*6500</f>
        <v>13000</v>
      </c>
      <c r="H6" s="24">
        <f>2*5000</f>
        <v>10000</v>
      </c>
      <c r="I6" s="24">
        <f>2*4900</f>
        <v>9800</v>
      </c>
      <c r="J6" s="24">
        <f>2*11000</f>
        <v>22000</v>
      </c>
    </row>
    <row r="8" spans="1:10" x14ac:dyDescent="0.25">
      <c r="A8" t="s">
        <v>110</v>
      </c>
      <c r="B8" t="s">
        <v>111</v>
      </c>
      <c r="C8">
        <f>0.4*12000</f>
        <v>4800</v>
      </c>
      <c r="D8">
        <f>0.4*14000</f>
        <v>5600</v>
      </c>
      <c r="E8">
        <f>0.4*12000</f>
        <v>4800</v>
      </c>
      <c r="F8" s="27">
        <f>0.4*12000</f>
        <v>4800</v>
      </c>
      <c r="G8">
        <f>0.4*18000</f>
        <v>7200</v>
      </c>
      <c r="H8">
        <f>0.4*17000</f>
        <v>6800</v>
      </c>
      <c r="I8">
        <f>0.4*13000</f>
        <v>5200</v>
      </c>
      <c r="J8">
        <f>0.4*14000</f>
        <v>5600</v>
      </c>
    </row>
    <row r="9" spans="1:10" x14ac:dyDescent="0.25">
      <c r="A9" t="s">
        <v>113</v>
      </c>
      <c r="B9" t="s">
        <v>112</v>
      </c>
      <c r="C9">
        <f>0.8*16000</f>
        <v>12800</v>
      </c>
      <c r="D9">
        <f>0.8*14000</f>
        <v>11200</v>
      </c>
      <c r="E9">
        <f>0.8*14000</f>
        <v>11200</v>
      </c>
      <c r="F9" s="27">
        <f>0.8*13000</f>
        <v>10400</v>
      </c>
      <c r="G9">
        <f>0.8*14000</f>
        <v>11200</v>
      </c>
      <c r="H9">
        <f>0.8*10000</f>
        <v>8000</v>
      </c>
      <c r="I9">
        <f>0.8*18000</f>
        <v>14400</v>
      </c>
      <c r="J9">
        <f>0.8*9000</f>
        <v>7200</v>
      </c>
    </row>
    <row r="10" spans="1:10" x14ac:dyDescent="0.25">
      <c r="A10" t="s">
        <v>126</v>
      </c>
      <c r="B10" t="s">
        <v>127</v>
      </c>
      <c r="C10">
        <f>650*85</f>
        <v>55250</v>
      </c>
      <c r="D10">
        <f>750*85</f>
        <v>63750</v>
      </c>
      <c r="E10">
        <f>750*85</f>
        <v>63750</v>
      </c>
      <c r="F10" s="27">
        <f>800*85</f>
        <v>68000</v>
      </c>
      <c r="G10" t="s">
        <v>148</v>
      </c>
      <c r="H10">
        <f>650*85</f>
        <v>55250</v>
      </c>
      <c r="I10">
        <f>700*85</f>
        <v>59500</v>
      </c>
      <c r="J10">
        <f>2000*85</f>
        <v>170000</v>
      </c>
    </row>
    <row r="11" spans="1:10" x14ac:dyDescent="0.25">
      <c r="A11" t="s">
        <v>128</v>
      </c>
      <c r="B11" t="s">
        <v>129</v>
      </c>
      <c r="C11">
        <f>1000*1.5</f>
        <v>1500</v>
      </c>
      <c r="D11">
        <f>1100*1.5</f>
        <v>1650</v>
      </c>
      <c r="E11">
        <f>1100*1.5</f>
        <v>1650</v>
      </c>
      <c r="F11" s="27">
        <f>1000*1.5</f>
        <v>1500</v>
      </c>
      <c r="G11">
        <f>1500*1.5</f>
        <v>2250</v>
      </c>
      <c r="H11">
        <f>1000*1.5</f>
        <v>1500</v>
      </c>
      <c r="I11">
        <f t="shared" ref="I11" si="0">1000*1.5</f>
        <v>1500</v>
      </c>
      <c r="J11">
        <f>2500*1.5</f>
        <v>3750</v>
      </c>
    </row>
    <row r="12" spans="1:10" x14ac:dyDescent="0.25">
      <c r="A12" t="s">
        <v>130</v>
      </c>
      <c r="B12" t="s">
        <v>131</v>
      </c>
      <c r="C12">
        <f>3500*2.5</f>
        <v>8750</v>
      </c>
      <c r="D12">
        <f>3500*2.5</f>
        <v>8750</v>
      </c>
      <c r="E12">
        <f>3500*2.5</f>
        <v>8750</v>
      </c>
      <c r="F12" s="27">
        <f>3500*2.5</f>
        <v>8750</v>
      </c>
      <c r="G12">
        <f>5500*2.5</f>
        <v>13750</v>
      </c>
      <c r="H12">
        <f>4500*2.5</f>
        <v>11250</v>
      </c>
      <c r="I12">
        <f>3000*2.5</f>
        <v>7500</v>
      </c>
      <c r="J12">
        <f>14000*2.5</f>
        <v>35000</v>
      </c>
    </row>
    <row r="13" spans="1:10" x14ac:dyDescent="0.25">
      <c r="A13" t="s">
        <v>132</v>
      </c>
      <c r="B13" t="s">
        <v>133</v>
      </c>
      <c r="C13">
        <v>3000</v>
      </c>
      <c r="D13">
        <v>3200</v>
      </c>
      <c r="E13">
        <v>3000</v>
      </c>
      <c r="F13" s="27">
        <v>3500</v>
      </c>
      <c r="G13">
        <v>4000</v>
      </c>
      <c r="H13">
        <v>3200</v>
      </c>
      <c r="I13">
        <v>2800</v>
      </c>
      <c r="J13">
        <v>7000</v>
      </c>
    </row>
    <row r="14" spans="1:10" x14ac:dyDescent="0.25">
      <c r="A14" t="s">
        <v>134</v>
      </c>
      <c r="B14" t="s">
        <v>136</v>
      </c>
      <c r="C14">
        <v>3000</v>
      </c>
      <c r="D14">
        <v>3000</v>
      </c>
      <c r="E14">
        <v>3000</v>
      </c>
      <c r="F14" s="27">
        <v>1500</v>
      </c>
      <c r="G14">
        <v>3000</v>
      </c>
      <c r="H14">
        <v>3000</v>
      </c>
      <c r="I14">
        <v>3000</v>
      </c>
      <c r="J14">
        <v>3000</v>
      </c>
    </row>
    <row r="15" spans="1:10" x14ac:dyDescent="0.25">
      <c r="A15" t="s">
        <v>135</v>
      </c>
      <c r="B15" t="s">
        <v>130</v>
      </c>
      <c r="C15">
        <v>1000</v>
      </c>
      <c r="D15">
        <v>1000</v>
      </c>
      <c r="E15">
        <v>1000</v>
      </c>
      <c r="F15" s="27">
        <v>500</v>
      </c>
      <c r="G15">
        <v>1000</v>
      </c>
      <c r="H15">
        <v>1000</v>
      </c>
      <c r="I15">
        <v>1000</v>
      </c>
      <c r="J15">
        <v>1000</v>
      </c>
    </row>
    <row r="16" spans="1:10" x14ac:dyDescent="0.25">
      <c r="A16" t="s">
        <v>114</v>
      </c>
      <c r="B16" t="s">
        <v>115</v>
      </c>
      <c r="C16">
        <f>5000/5</f>
        <v>1000</v>
      </c>
      <c r="D16">
        <f t="shared" ref="D16:I16" si="1">5000/5</f>
        <v>1000</v>
      </c>
      <c r="E16">
        <f t="shared" si="1"/>
        <v>1000</v>
      </c>
      <c r="F16" s="27">
        <f>3000/5</f>
        <v>600</v>
      </c>
      <c r="G16">
        <f t="shared" si="1"/>
        <v>1000</v>
      </c>
      <c r="H16">
        <f t="shared" si="1"/>
        <v>1000</v>
      </c>
      <c r="I16">
        <f t="shared" si="1"/>
        <v>1000</v>
      </c>
      <c r="J16">
        <f>12000/5</f>
        <v>2400</v>
      </c>
    </row>
    <row r="17" spans="1:10" x14ac:dyDescent="0.25">
      <c r="A17" t="s">
        <v>117</v>
      </c>
      <c r="B17" t="s">
        <v>116</v>
      </c>
      <c r="C17">
        <v>12000</v>
      </c>
      <c r="D17">
        <v>12000</v>
      </c>
      <c r="E17">
        <v>12000</v>
      </c>
      <c r="F17" s="27">
        <v>10000</v>
      </c>
      <c r="G17">
        <v>16000</v>
      </c>
      <c r="H17">
        <v>12000</v>
      </c>
      <c r="I17">
        <v>12000</v>
      </c>
      <c r="J17">
        <v>24000</v>
      </c>
    </row>
    <row r="18" spans="1:10" x14ac:dyDescent="0.25">
      <c r="A18" t="s">
        <v>121</v>
      </c>
      <c r="B18" t="s">
        <v>122</v>
      </c>
      <c r="C18">
        <v>1000</v>
      </c>
      <c r="D18">
        <v>1000</v>
      </c>
      <c r="E18">
        <v>1000</v>
      </c>
      <c r="F18">
        <v>1000</v>
      </c>
      <c r="G18">
        <v>1000</v>
      </c>
      <c r="H18">
        <v>1000</v>
      </c>
      <c r="I18">
        <v>1000</v>
      </c>
      <c r="J18">
        <v>1000</v>
      </c>
    </row>
    <row r="19" spans="1:10" x14ac:dyDescent="0.25">
      <c r="A19" t="s">
        <v>118</v>
      </c>
      <c r="B19" t="s">
        <v>119</v>
      </c>
      <c r="C19">
        <v>2000</v>
      </c>
      <c r="D19">
        <v>2500</v>
      </c>
      <c r="E19">
        <v>2000</v>
      </c>
      <c r="F19" s="27">
        <v>3500</v>
      </c>
      <c r="G19">
        <v>5000</v>
      </c>
      <c r="H19">
        <v>2000</v>
      </c>
      <c r="I19">
        <v>3000</v>
      </c>
      <c r="J19">
        <v>7000</v>
      </c>
    </row>
    <row r="20" spans="1:10" x14ac:dyDescent="0.25">
      <c r="A20" t="s">
        <v>125</v>
      </c>
      <c r="B20" t="s">
        <v>120</v>
      </c>
      <c r="C20">
        <f>SUM(C4,C8:C18)</f>
        <v>139100</v>
      </c>
      <c r="D20">
        <f t="shared" ref="D20:J20" si="2">SUM(D4,D8:D18)</f>
        <v>150650</v>
      </c>
      <c r="E20">
        <f t="shared" si="2"/>
        <v>148950</v>
      </c>
      <c r="F20">
        <f t="shared" si="2"/>
        <v>152550</v>
      </c>
      <c r="G20">
        <f t="shared" si="2"/>
        <v>105900</v>
      </c>
      <c r="H20">
        <f t="shared" si="2"/>
        <v>139000</v>
      </c>
      <c r="I20">
        <f t="shared" si="2"/>
        <v>143200</v>
      </c>
      <c r="J20">
        <f t="shared" si="2"/>
        <v>336950</v>
      </c>
    </row>
    <row r="21" spans="1:10" x14ac:dyDescent="0.25">
      <c r="A21" t="s">
        <v>124</v>
      </c>
      <c r="B21" t="s">
        <v>123</v>
      </c>
      <c r="C21">
        <f>C20*1.25</f>
        <v>173875</v>
      </c>
      <c r="D21">
        <f t="shared" ref="D21:J21" si="3">D20*1.25</f>
        <v>188312.5</v>
      </c>
      <c r="E21">
        <f t="shared" si="3"/>
        <v>186187.5</v>
      </c>
      <c r="F21">
        <f t="shared" si="3"/>
        <v>190687.5</v>
      </c>
      <c r="G21">
        <f t="shared" si="3"/>
        <v>132375</v>
      </c>
      <c r="H21">
        <f t="shared" si="3"/>
        <v>173750</v>
      </c>
      <c r="I21">
        <f t="shared" si="3"/>
        <v>179000</v>
      </c>
      <c r="J21">
        <f t="shared" si="3"/>
        <v>421187.5</v>
      </c>
    </row>
    <row r="22" spans="1:10" s="26" customFormat="1" x14ac:dyDescent="0.25">
      <c r="A22" s="26" t="s">
        <v>138</v>
      </c>
      <c r="B22" s="26" t="s">
        <v>139</v>
      </c>
      <c r="C22" s="26">
        <v>180000</v>
      </c>
      <c r="D22" s="26">
        <v>190000</v>
      </c>
      <c r="E22" s="26">
        <v>190000</v>
      </c>
      <c r="F22" s="29">
        <v>190000</v>
      </c>
      <c r="G22" s="26">
        <v>260000</v>
      </c>
      <c r="H22" s="26">
        <v>180000</v>
      </c>
      <c r="I22" s="26">
        <f>I21</f>
        <v>179000</v>
      </c>
      <c r="J22" s="26">
        <v>450000</v>
      </c>
    </row>
    <row r="23" spans="1:10" s="26" customFormat="1" x14ac:dyDescent="0.25">
      <c r="F23" s="29"/>
    </row>
    <row r="24" spans="1:10" s="30" customFormat="1" x14ac:dyDescent="0.25">
      <c r="A24" s="30" t="s">
        <v>145</v>
      </c>
      <c r="C24" s="30">
        <f t="shared" ref="C24:J24" si="4">C6+C8+C9+C16+C17+C18</f>
        <v>41600</v>
      </c>
      <c r="D24" s="30">
        <f t="shared" si="4"/>
        <v>41800</v>
      </c>
      <c r="E24" s="30">
        <f t="shared" si="4"/>
        <v>40800</v>
      </c>
      <c r="F24" s="30">
        <f t="shared" si="4"/>
        <v>38800</v>
      </c>
      <c r="G24" s="30">
        <f t="shared" si="4"/>
        <v>49400</v>
      </c>
      <c r="H24" s="30">
        <f t="shared" si="4"/>
        <v>38800</v>
      </c>
      <c r="I24" s="30">
        <f t="shared" si="4"/>
        <v>43400</v>
      </c>
      <c r="J24" s="30">
        <f t="shared" si="4"/>
        <v>62200</v>
      </c>
    </row>
    <row r="25" spans="1:10" s="30" customFormat="1" x14ac:dyDescent="0.25">
      <c r="A25" s="30" t="s">
        <v>124</v>
      </c>
      <c r="B25" s="30" t="s">
        <v>123</v>
      </c>
      <c r="C25" s="30">
        <f>C24*1.25</f>
        <v>52000</v>
      </c>
      <c r="D25" s="30">
        <f t="shared" ref="D25" si="5">D24*1.25</f>
        <v>52250</v>
      </c>
      <c r="E25" s="30">
        <f t="shared" ref="E25" si="6">E24*1.25</f>
        <v>51000</v>
      </c>
      <c r="F25" s="30">
        <f t="shared" ref="F25" si="7">F24*1.25</f>
        <v>48500</v>
      </c>
      <c r="G25" s="30">
        <f t="shared" ref="G25" si="8">G24*1.25</f>
        <v>61750</v>
      </c>
      <c r="H25" s="30">
        <f t="shared" ref="H25" si="9">H24*1.25</f>
        <v>48500</v>
      </c>
      <c r="I25" s="30">
        <f t="shared" ref="I25" si="10">I24*1.25</f>
        <v>54250</v>
      </c>
      <c r="J25" s="30">
        <f t="shared" ref="J25" si="11">J24*1.25</f>
        <v>77750</v>
      </c>
    </row>
    <row r="28" spans="1:10" s="31" customFormat="1" x14ac:dyDescent="0.25">
      <c r="A28" s="31" t="s">
        <v>146</v>
      </c>
      <c r="C28" s="31">
        <f>C5+C8+C9+C16+C17+C18</f>
        <v>56600</v>
      </c>
      <c r="D28" s="31">
        <f t="shared" ref="D28:J28" si="12">D5+D8+D9+D16+D17+D18</f>
        <v>58300</v>
      </c>
      <c r="E28" s="31">
        <f t="shared" si="12"/>
        <v>57000</v>
      </c>
      <c r="F28" s="31">
        <f t="shared" si="12"/>
        <v>56800</v>
      </c>
      <c r="G28" s="31">
        <f t="shared" si="12"/>
        <v>68900</v>
      </c>
      <c r="H28" s="31">
        <f t="shared" si="12"/>
        <v>53800</v>
      </c>
      <c r="I28" s="31">
        <f t="shared" si="12"/>
        <v>58100</v>
      </c>
      <c r="J28" s="31">
        <f t="shared" si="12"/>
        <v>95200</v>
      </c>
    </row>
    <row r="29" spans="1:10" s="31" customFormat="1" x14ac:dyDescent="0.25">
      <c r="A29" s="31" t="s">
        <v>124</v>
      </c>
      <c r="B29" s="31" t="s">
        <v>123</v>
      </c>
      <c r="C29" s="31">
        <f>C28*1.25</f>
        <v>70750</v>
      </c>
      <c r="D29" s="31">
        <f t="shared" ref="D29" si="13">D28*1.25</f>
        <v>72875</v>
      </c>
      <c r="E29" s="31">
        <f t="shared" ref="E29" si="14">E28*1.25</f>
        <v>71250</v>
      </c>
      <c r="F29" s="31">
        <f t="shared" ref="F29" si="15">F28*1.25</f>
        <v>71000</v>
      </c>
      <c r="G29" s="31">
        <f t="shared" ref="G29" si="16">G28*1.25</f>
        <v>86125</v>
      </c>
      <c r="H29" s="31">
        <f t="shared" ref="H29" si="17">H28*1.25</f>
        <v>67250</v>
      </c>
      <c r="I29" s="31">
        <f t="shared" ref="I29" si="18">I28*1.25</f>
        <v>72625</v>
      </c>
      <c r="J29" s="31">
        <f t="shared" ref="J29" si="19">J28*1.25</f>
        <v>119000</v>
      </c>
    </row>
    <row r="32" spans="1:10" s="32" customFormat="1" x14ac:dyDescent="0.25">
      <c r="A32" s="32" t="s">
        <v>147</v>
      </c>
      <c r="C32" s="32">
        <f>C4+C8+C15+C17+C18</f>
        <v>53800</v>
      </c>
      <c r="D32" s="32">
        <f t="shared" ref="D32:J32" si="20">D4+D8+D15+D17+D18</f>
        <v>58100</v>
      </c>
      <c r="E32" s="32">
        <f t="shared" si="20"/>
        <v>56600</v>
      </c>
      <c r="F32" s="32">
        <f t="shared" si="20"/>
        <v>58300</v>
      </c>
      <c r="G32" s="32">
        <f t="shared" si="20"/>
        <v>70700</v>
      </c>
      <c r="H32" s="32">
        <f t="shared" si="20"/>
        <v>55800</v>
      </c>
      <c r="I32" s="32">
        <f t="shared" si="20"/>
        <v>53500</v>
      </c>
      <c r="J32" s="32">
        <f t="shared" si="20"/>
        <v>108600</v>
      </c>
    </row>
    <row r="33" spans="1:10" s="33" customFormat="1" x14ac:dyDescent="0.25">
      <c r="A33" s="33" t="s">
        <v>124</v>
      </c>
      <c r="B33" s="33" t="s">
        <v>123</v>
      </c>
      <c r="C33" s="33">
        <f>C32*1.25</f>
        <v>67250</v>
      </c>
      <c r="D33" s="33">
        <f t="shared" ref="D33" si="21">D32*1.25</f>
        <v>72625</v>
      </c>
      <c r="E33" s="33">
        <f t="shared" ref="E33" si="22">E32*1.25</f>
        <v>70750</v>
      </c>
      <c r="F33" s="33">
        <f t="shared" ref="F33" si="23">F32*1.25</f>
        <v>72875</v>
      </c>
      <c r="G33" s="33">
        <f t="shared" ref="G33" si="24">G32*1.25</f>
        <v>88375</v>
      </c>
      <c r="H33" s="33">
        <f t="shared" ref="H33" si="25">H32*1.25</f>
        <v>69750</v>
      </c>
      <c r="I33" s="33">
        <f t="shared" ref="I33" si="26">I32*1.25</f>
        <v>66875</v>
      </c>
      <c r="J33" s="33">
        <f t="shared" ref="J33" si="27">J32*1.25</f>
        <v>135750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Sheet2</vt:lpstr>
      <vt:lpstr>unit cost calculation</vt:lpstr>
      <vt:lpstr>Sheet2!Zone_d_impression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SirEmech</dc:creator>
  <cp:lastModifiedBy>ING</cp:lastModifiedBy>
  <cp:lastPrinted>2023-07-05T07:05:33Z</cp:lastPrinted>
  <dcterms:created xsi:type="dcterms:W3CDTF">2023-07-02T12:23:52Z</dcterms:created>
  <dcterms:modified xsi:type="dcterms:W3CDTF">2026-07-22T08:54:19Z</dcterms:modified>
</cp:coreProperties>
</file>