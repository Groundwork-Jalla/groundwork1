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ERNARD\Desktop\s\Van\Back up Job\S M\"/>
    </mc:Choice>
  </mc:AlternateContent>
  <xr:revisionPtr revIDLastSave="0" documentId="13_ncr:1_{BBB0263A-B6C3-4890-858F-6E207D785BF4}" xr6:coauthVersionLast="36" xr6:coauthVersionMax="36" xr10:uidLastSave="{00000000-0000-0000-0000-000000000000}"/>
  <bookViews>
    <workbookView xWindow="0" yWindow="0" windowWidth="23040" windowHeight="9190" xr2:uid="{00000000-000D-0000-FFFF-FFFF00000000}"/>
  </bookViews>
  <sheets>
    <sheet name="Sheet2" sheetId="2" r:id="rId1"/>
    <sheet name="Sheet3" sheetId="3" r:id="rId2"/>
    <sheet name="Sheet1" sheetId="1" r:id="rId3"/>
  </sheets>
  <definedNames>
    <definedName name="_xlnm.Print_Area" localSheetId="0">Sheet2!$A$1:$F$117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6" i="2" l="1"/>
  <c r="F97" i="2" s="1"/>
  <c r="F95" i="2"/>
  <c r="F65" i="2"/>
  <c r="F66" i="2"/>
  <c r="F79" i="2"/>
  <c r="F81" i="2"/>
  <c r="V11" i="3"/>
  <c r="V10" i="3"/>
  <c r="V7" i="3"/>
  <c r="V8" i="3"/>
  <c r="V6" i="3"/>
  <c r="V4" i="3"/>
  <c r="V3" i="3"/>
  <c r="V2" i="3"/>
  <c r="F55" i="2"/>
  <c r="S3" i="3"/>
  <c r="O25" i="3"/>
  <c r="O19" i="3"/>
  <c r="P16" i="3"/>
  <c r="O16" i="3"/>
  <c r="O13" i="3"/>
  <c r="J23" i="3"/>
  <c r="J22" i="3"/>
  <c r="O10" i="3"/>
  <c r="J12" i="3"/>
  <c r="O9" i="3"/>
  <c r="O8" i="3"/>
  <c r="O6" i="3"/>
  <c r="O5" i="3"/>
  <c r="O2" i="3"/>
  <c r="J15" i="3"/>
  <c r="J16" i="3" s="1"/>
  <c r="J32" i="3"/>
  <c r="J29" i="3"/>
  <c r="J28" i="3"/>
  <c r="B20" i="3"/>
  <c r="J26" i="3"/>
  <c r="J19" i="3"/>
  <c r="J5" i="3"/>
  <c r="J11" i="3"/>
  <c r="J10" i="3"/>
  <c r="J8" i="3"/>
  <c r="J7" i="3"/>
  <c r="J2" i="3"/>
  <c r="B24" i="3" l="1"/>
  <c r="A2" i="3"/>
  <c r="A3" i="3" s="1"/>
  <c r="B4" i="3" s="1"/>
  <c r="B5" i="3" s="1"/>
  <c r="B21" i="3"/>
  <c r="B17" i="3"/>
  <c r="B14" i="3"/>
  <c r="B11" i="3"/>
  <c r="B9" i="3"/>
  <c r="B6" i="3"/>
  <c r="F42" i="2" l="1"/>
  <c r="F90" i="2" l="1"/>
  <c r="F91" i="2"/>
  <c r="F92" i="2"/>
  <c r="F93" i="2"/>
  <c r="F94" i="2"/>
  <c r="F89" i="2"/>
  <c r="F77" i="2"/>
  <c r="F78" i="2"/>
  <c r="F80" i="2"/>
  <c r="F82" i="2"/>
  <c r="F83" i="2"/>
  <c r="F84" i="2"/>
  <c r="F85" i="2"/>
  <c r="F76" i="2"/>
  <c r="F63" i="2"/>
  <c r="F64" i="2"/>
  <c r="F67" i="2"/>
  <c r="F68" i="2"/>
  <c r="F69" i="2"/>
  <c r="F70" i="2"/>
  <c r="F71" i="2"/>
  <c r="F72" i="2"/>
  <c r="F62" i="2"/>
  <c r="F58" i="2"/>
  <c r="F57" i="2"/>
  <c r="F53" i="2"/>
  <c r="F54" i="2"/>
  <c r="F56" i="2"/>
  <c r="F52" i="2"/>
  <c r="F46" i="2"/>
  <c r="F47" i="2"/>
  <c r="F48" i="2"/>
  <c r="F45" i="2"/>
  <c r="F35" i="2"/>
  <c r="F36" i="2"/>
  <c r="F37" i="2"/>
  <c r="F38" i="2"/>
  <c r="F39" i="2"/>
  <c r="F40" i="2"/>
  <c r="F41" i="2"/>
  <c r="F34" i="2"/>
  <c r="F22" i="2"/>
  <c r="F23" i="2"/>
  <c r="F24" i="2"/>
  <c r="F25" i="2"/>
  <c r="F26" i="2"/>
  <c r="F27" i="2"/>
  <c r="F28" i="2"/>
  <c r="F29" i="2"/>
  <c r="F30" i="2"/>
  <c r="F31" i="2"/>
  <c r="F21" i="2"/>
  <c r="F10" i="2"/>
  <c r="F11" i="2"/>
  <c r="F12" i="2"/>
  <c r="F13" i="2"/>
  <c r="F14" i="2"/>
  <c r="F15" i="2"/>
  <c r="F16" i="2"/>
  <c r="F17" i="2"/>
  <c r="F18" i="2"/>
  <c r="F9" i="2"/>
  <c r="F74" i="2" l="1"/>
  <c r="D106" i="2" s="1"/>
  <c r="F50" i="2"/>
  <c r="D104" i="2" s="1"/>
  <c r="F32" i="2"/>
  <c r="D102" i="2" s="1"/>
  <c r="F19" i="2"/>
  <c r="D101" i="2" s="1"/>
  <c r="D108" i="2"/>
  <c r="F60" i="2"/>
  <c r="D105" i="2" s="1"/>
  <c r="F87" i="2"/>
  <c r="D107" i="2" s="1"/>
  <c r="F43" i="2"/>
  <c r="D103" i="2" s="1"/>
  <c r="F5" i="2"/>
  <c r="F4" i="2"/>
  <c r="F7" i="2" s="1"/>
  <c r="D100" i="2" s="1"/>
  <c r="C15" i="1"/>
  <c r="C10" i="1"/>
  <c r="C11" i="1"/>
  <c r="C12" i="1"/>
  <c r="C13" i="1"/>
  <c r="C14" i="1"/>
  <c r="C9" i="1"/>
  <c r="D109" i="2" l="1"/>
</calcChain>
</file>

<file path=xl/sharedStrings.xml><?xml version="1.0" encoding="utf-8"?>
<sst xmlns="http://schemas.openxmlformats.org/spreadsheetml/2006/main" count="214" uniqueCount="126">
  <si>
    <t>ROD</t>
  </si>
  <si>
    <t>P.U</t>
  </si>
  <si>
    <t>Pm3</t>
  </si>
  <si>
    <t>DESIGNATION</t>
  </si>
  <si>
    <t>UNITS</t>
  </si>
  <si>
    <t>QUANTITY</t>
  </si>
  <si>
    <t>UNIT PRICE</t>
  </si>
  <si>
    <t>TOTAL</t>
  </si>
  <si>
    <t>Site Installation</t>
  </si>
  <si>
    <t>Preparation and clearing of land</t>
  </si>
  <si>
    <t>TOTAL PREPARATORY WORKS</t>
  </si>
  <si>
    <t>FOUNDATION</t>
  </si>
  <si>
    <t>FF</t>
  </si>
  <si>
    <r>
      <t>Art. N</t>
    </r>
    <r>
      <rPr>
        <b/>
        <vertAlign val="superscript"/>
        <sz val="12"/>
        <color theme="1"/>
        <rFont val="Calibri"/>
        <family val="2"/>
        <scheme val="minor"/>
      </rPr>
      <t>0</t>
    </r>
  </si>
  <si>
    <r>
      <t>Reinforced concrete for footings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</si>
  <si>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foundation pillers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</si>
  <si>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foundation beams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</si>
  <si>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</si>
  <si>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</si>
  <si>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TOTAL FOUNDATION</t>
  </si>
  <si>
    <r>
      <t>Reinforced concrete for pillers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</si>
  <si>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Staircase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</si>
  <si>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Lean concrete of thickness 5cm dosed at 150kg/m</t>
    </r>
    <r>
      <rPr>
        <vertAlign val="superscript"/>
        <sz val="11"/>
        <color theme="1"/>
        <rFont val="Calibri"/>
        <family val="2"/>
        <scheme val="minor"/>
      </rPr>
      <t>3</t>
    </r>
  </si>
  <si>
    <t>20cm filled foundation blocks</t>
  </si>
  <si>
    <r>
      <t>Lightly Concreted flooring (7cm) dosed at 250kg/m</t>
    </r>
    <r>
      <rPr>
        <vertAlign val="superscript"/>
        <sz val="11"/>
        <color theme="1"/>
        <rFont val="Calibri"/>
        <family val="2"/>
        <scheme val="minor"/>
      </rPr>
      <t>3</t>
    </r>
  </si>
  <si>
    <t>poltystrene film</t>
  </si>
  <si>
    <t>5cm layer of sand</t>
  </si>
  <si>
    <t>PRILIMINARY WORKS</t>
  </si>
  <si>
    <t>GROUND FLOOR ELEVATION</t>
  </si>
  <si>
    <r>
      <t>Reinforced concrete for beams and lintel 350kg/m</t>
    </r>
    <r>
      <rPr>
        <vertAlign val="superscript"/>
        <sz val="11"/>
        <color theme="1"/>
        <rFont val="Calibri"/>
        <family val="2"/>
        <scheme val="minor"/>
      </rPr>
      <t>3</t>
    </r>
  </si>
  <si>
    <t>15cm sandcrete blocks</t>
  </si>
  <si>
    <t>Floor tiles</t>
  </si>
  <si>
    <t>Wall tiles</t>
  </si>
  <si>
    <t>Staffing</t>
  </si>
  <si>
    <t>TOTAL GROUND FLOOR ELEVATION</t>
  </si>
  <si>
    <t>FIRST FLOOR ELEVATION</t>
  </si>
  <si>
    <t>Backfill of foundation</t>
  </si>
  <si>
    <t>Mortar flooring</t>
  </si>
  <si>
    <t>TOTAL FIRST FLOOR ELEVATION</t>
  </si>
  <si>
    <t>ROOF STRUSS AND COVERING</t>
  </si>
  <si>
    <t>Provision and installation of alumium roofing sheets</t>
  </si>
  <si>
    <t>Installation of other accessories</t>
  </si>
  <si>
    <t>TOTAL ROOF STRUSS AND COVERING</t>
  </si>
  <si>
    <t>WOOD AND METAL WORK FOR OPENINGS</t>
  </si>
  <si>
    <t>TOTAL WOOD AND METAL WORKS</t>
  </si>
  <si>
    <t>Switches</t>
  </si>
  <si>
    <t>Suckets</t>
  </si>
  <si>
    <t>Junction box</t>
  </si>
  <si>
    <t>Flexible conduit</t>
  </si>
  <si>
    <t>1.5mm cable</t>
  </si>
  <si>
    <t>2.5mm cable</t>
  </si>
  <si>
    <t>Supply cable</t>
  </si>
  <si>
    <t>Eneo meter installation</t>
  </si>
  <si>
    <t>ELECTRICITY (To be precised by the electrician)</t>
  </si>
  <si>
    <t>PLUNBING AND SANITARY FIXTURES (To be precised by the Plumbing)</t>
  </si>
  <si>
    <t>Water drainage system</t>
  </si>
  <si>
    <t>TOTAL PLUNBING AND SANITARY FIXTURES</t>
  </si>
  <si>
    <t xml:space="preserve">PAINTING </t>
  </si>
  <si>
    <t>Toilet seats</t>
  </si>
  <si>
    <t>Toilet sinks</t>
  </si>
  <si>
    <t>Shower connection</t>
  </si>
  <si>
    <t>Kitchen Sink and drainage systems</t>
  </si>
  <si>
    <t>Accessories and other installation</t>
  </si>
  <si>
    <t>Septic tank and soak away pit</t>
  </si>
  <si>
    <t>Other accessories</t>
  </si>
  <si>
    <t>Excavation of foundation pits and trenches</t>
  </si>
  <si>
    <t>Plastering for slab dosed at 400kg/m3</t>
  </si>
  <si>
    <t xml:space="preserve">Internal and external pastering (ep =2cm)  dosed at 400kg/m3 </t>
  </si>
  <si>
    <t xml:space="preserve">TOTAL PAINTING </t>
  </si>
  <si>
    <t>Parapet wall</t>
  </si>
  <si>
    <t>ff</t>
  </si>
  <si>
    <t>Wooden doors of 90X210</t>
  </si>
  <si>
    <t>Wooden doors of 150X210</t>
  </si>
  <si>
    <t>U</t>
  </si>
  <si>
    <t>Railings in Iron for balcony</t>
  </si>
  <si>
    <t>Railings in Iron for Staircase</t>
  </si>
  <si>
    <t>ml</t>
  </si>
  <si>
    <t>Rolls</t>
  </si>
  <si>
    <t>Bulds and lighting accessories</t>
  </si>
  <si>
    <t>Preparation of surfaces for painting</t>
  </si>
  <si>
    <t>Pancryl paint for ceiling</t>
  </si>
  <si>
    <t>Verni painting for wood joins and ceiling</t>
  </si>
  <si>
    <t>Pantex 800 water paint for internal walls</t>
  </si>
  <si>
    <t>Pantex 1300 water paint for external walls</t>
  </si>
  <si>
    <t>Impigmentation and white washing</t>
  </si>
  <si>
    <t>SUMMARY</t>
  </si>
  <si>
    <t xml:space="preserve">ELECTRICITY </t>
  </si>
  <si>
    <t>PLUNBING AND SANITARY FIXTURES</t>
  </si>
  <si>
    <t>CONSTRUCTION ESTIMATE OF G+1 BUILDING FOR Mme. ROSE NDUM KENAH                                      (Nkozoa-Yaounde)</t>
  </si>
  <si>
    <t>LC</t>
  </si>
  <si>
    <t>FT</t>
  </si>
  <si>
    <t>DC</t>
  </si>
  <si>
    <t>GB</t>
  </si>
  <si>
    <t>W</t>
  </si>
  <si>
    <t>Fl</t>
  </si>
  <si>
    <t>P</t>
  </si>
  <si>
    <t>B</t>
  </si>
  <si>
    <t xml:space="preserve">LD </t>
  </si>
  <si>
    <t>LW</t>
  </si>
  <si>
    <t>S</t>
  </si>
  <si>
    <r>
      <t>Reinforced concrete Slab 350kg/m</t>
    </r>
    <r>
      <rPr>
        <vertAlign val="superscript"/>
        <sz val="11"/>
        <color theme="1"/>
        <rFont val="Calibri"/>
        <family val="2"/>
        <scheme val="minor"/>
      </rPr>
      <t>3</t>
    </r>
  </si>
  <si>
    <t>Deck</t>
  </si>
  <si>
    <t>wall</t>
  </si>
  <si>
    <t>Plas deck</t>
  </si>
  <si>
    <t>Wall tile</t>
  </si>
  <si>
    <t>Staff</t>
  </si>
  <si>
    <t>Provision and assembly of treated hardwood for struss</t>
  </si>
  <si>
    <t>Provision and assembly of treated hardwood for purlins</t>
  </si>
  <si>
    <t>Tie B</t>
  </si>
  <si>
    <t>Wall</t>
  </si>
  <si>
    <t>Para</t>
  </si>
  <si>
    <t>Rf</t>
  </si>
  <si>
    <t xml:space="preserve">Alunimun/Glass </t>
  </si>
  <si>
    <t>Wooden doors of 75X210</t>
  </si>
  <si>
    <t>Wooden doors of 85X210</t>
  </si>
  <si>
    <t>w</t>
  </si>
  <si>
    <t>R</t>
  </si>
  <si>
    <t>RS</t>
  </si>
  <si>
    <t>Bathtups</t>
  </si>
  <si>
    <t xml:space="preserve">Water supply system in (PVC.63 and PVC.100) </t>
  </si>
  <si>
    <t>Toilet Mirrors</t>
  </si>
  <si>
    <t>sw</t>
  </si>
  <si>
    <t>su</t>
  </si>
  <si>
    <t>Chandrelier</t>
  </si>
  <si>
    <t>Decoration</t>
  </si>
  <si>
    <t>Contigencies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</si>
</sst>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Fill="1" applyBorder="1"/>
    <xf numFmtId="0" fontId="2" fillId="0" borderId="1" xfId="0" applyFont="1" applyFill="1" applyBorder="1"/>
    <xf numFmtId="0" fontId="2" fillId="0" borderId="1" xfId="0" applyFont="1" applyFill="1" applyBorder="1" applyAlignment="1"/>
    <xf numFmtId="164" fontId="0" fillId="0" borderId="1" xfId="0" applyNumberForma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3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0" fillId="0" borderId="0" xfId="0" applyNumberForma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9"/>
  <sheetViews>
    <sheetView tabSelected="1" topLeftCell="A82" zoomScaleNormal="100" workbookViewId="0">
      <selection activeCell="A86" sqref="A86"/>
    </sheetView>
  </sheetViews>
  <sheetFormatPr defaultRowHeight="14.5" x14ac:dyDescent="0.35"/>
  <cols>
    <col min="1" max="1" width="7.54296875" style="1" bestFit="1" customWidth="1"/>
    <col min="2" max="2" width="60.90625" bestFit="1" customWidth="1"/>
    <col min="3" max="3" width="6.54296875" style="1" bestFit="1" customWidth="1"/>
    <col min="4" max="4" width="12.6328125" style="1" bestFit="1" customWidth="1"/>
    <col min="5" max="5" width="11.54296875" bestFit="1" customWidth="1"/>
    <col min="6" max="6" width="12.6328125" bestFit="1" customWidth="1"/>
    <col min="9" max="9" width="10" bestFit="1" customWidth="1"/>
    <col min="10" max="10" width="12.54296875" bestFit="1" customWidth="1"/>
  </cols>
  <sheetData>
    <row r="1" spans="1:10" ht="55.25" customHeight="1" x14ac:dyDescent="0.35">
      <c r="A1" s="25" t="s">
        <v>88</v>
      </c>
      <c r="B1" s="25"/>
      <c r="C1" s="25"/>
      <c r="D1" s="25"/>
      <c r="E1" s="25"/>
      <c r="F1" s="25"/>
    </row>
    <row r="2" spans="1:10" ht="17.5" x14ac:dyDescent="0.35">
      <c r="A2" s="18" t="s">
        <v>13</v>
      </c>
      <c r="B2" s="4" t="s">
        <v>3</v>
      </c>
      <c r="C2" s="3" t="s">
        <v>4</v>
      </c>
      <c r="D2" s="3" t="s">
        <v>5</v>
      </c>
      <c r="E2" s="4" t="s">
        <v>6</v>
      </c>
      <c r="F2" s="3" t="s">
        <v>7</v>
      </c>
    </row>
    <row r="3" spans="1:10" s="11" customFormat="1" x14ac:dyDescent="0.35">
      <c r="A3" s="19">
        <v>100</v>
      </c>
      <c r="B3" s="6" t="s">
        <v>27</v>
      </c>
      <c r="C3" s="10"/>
      <c r="D3" s="10"/>
      <c r="E3" s="6"/>
      <c r="F3" s="6"/>
    </row>
    <row r="4" spans="1:10" x14ac:dyDescent="0.35">
      <c r="A4" s="20">
        <v>101</v>
      </c>
      <c r="B4" s="7" t="s">
        <v>8</v>
      </c>
      <c r="C4" s="5" t="s">
        <v>12</v>
      </c>
      <c r="D4" s="5">
        <v>1</v>
      </c>
      <c r="E4" s="8">
        <v>250000</v>
      </c>
      <c r="F4" s="8">
        <f>D4*E4</f>
        <v>250000</v>
      </c>
    </row>
    <row r="5" spans="1:10" x14ac:dyDescent="0.35">
      <c r="A5" s="20">
        <v>102</v>
      </c>
      <c r="B5" s="7" t="s">
        <v>9</v>
      </c>
      <c r="C5" s="5" t="s">
        <v>12</v>
      </c>
      <c r="D5" s="5">
        <v>1</v>
      </c>
      <c r="E5" s="8">
        <v>300000</v>
      </c>
      <c r="F5" s="8">
        <f>D5*E5</f>
        <v>300000</v>
      </c>
    </row>
    <row r="6" spans="1:10" x14ac:dyDescent="0.35">
      <c r="A6" s="20"/>
      <c r="B6" s="7"/>
      <c r="C6" s="5"/>
      <c r="D6" s="5"/>
      <c r="E6" s="8"/>
      <c r="F6" s="7"/>
    </row>
    <row r="7" spans="1:10" x14ac:dyDescent="0.35">
      <c r="A7" s="20"/>
      <c r="B7" s="26" t="s">
        <v>10</v>
      </c>
      <c r="C7" s="26"/>
      <c r="D7" s="26"/>
      <c r="E7" s="26"/>
      <c r="F7" s="17">
        <f>SUM(F4:F5)</f>
        <v>550000</v>
      </c>
    </row>
    <row r="8" spans="1:10" s="11" customFormat="1" x14ac:dyDescent="0.35">
      <c r="A8" s="19">
        <v>200</v>
      </c>
      <c r="B8" s="6" t="s">
        <v>11</v>
      </c>
      <c r="C8" s="10"/>
      <c r="D8" s="10"/>
      <c r="E8" s="6"/>
      <c r="F8" s="6"/>
    </row>
    <row r="9" spans="1:10" ht="16.5" x14ac:dyDescent="0.35">
      <c r="A9" s="20">
        <v>201</v>
      </c>
      <c r="B9" s="7" t="s">
        <v>65</v>
      </c>
      <c r="C9" s="5" t="s">
        <v>17</v>
      </c>
      <c r="D9" s="5">
        <v>49.7</v>
      </c>
      <c r="E9" s="8">
        <v>3000</v>
      </c>
      <c r="F9" s="8">
        <f>D9*E9</f>
        <v>149100</v>
      </c>
    </row>
    <row r="10" spans="1:10" ht="16.5" x14ac:dyDescent="0.35">
      <c r="A10" s="20">
        <v>202</v>
      </c>
      <c r="B10" s="12" t="s">
        <v>36</v>
      </c>
      <c r="C10" s="5" t="s">
        <v>17</v>
      </c>
      <c r="D10" s="5">
        <v>38</v>
      </c>
      <c r="E10" s="8">
        <v>2000</v>
      </c>
      <c r="F10" s="8">
        <f t="shared" ref="F10:F18" si="0">D10*E10</f>
        <v>76000</v>
      </c>
    </row>
    <row r="11" spans="1:10" ht="16.5" x14ac:dyDescent="0.35">
      <c r="A11" s="20">
        <v>203</v>
      </c>
      <c r="B11" s="7" t="s">
        <v>22</v>
      </c>
      <c r="C11" s="5" t="s">
        <v>17</v>
      </c>
      <c r="D11" s="5">
        <v>1.4</v>
      </c>
      <c r="E11" s="8">
        <v>75000</v>
      </c>
      <c r="F11" s="8">
        <f t="shared" si="0"/>
        <v>105000</v>
      </c>
    </row>
    <row r="12" spans="1:10" ht="16.5" x14ac:dyDescent="0.35">
      <c r="A12" s="20">
        <v>204</v>
      </c>
      <c r="B12" s="7" t="s">
        <v>14</v>
      </c>
      <c r="C12" s="5" t="s">
        <v>17</v>
      </c>
      <c r="D12" s="5">
        <v>5.5</v>
      </c>
      <c r="E12" s="8">
        <v>180000</v>
      </c>
      <c r="F12" s="8">
        <f t="shared" si="0"/>
        <v>990000</v>
      </c>
      <c r="I12" s="22"/>
      <c r="J12" s="21"/>
    </row>
    <row r="13" spans="1:10" ht="16.5" x14ac:dyDescent="0.35">
      <c r="A13" s="20">
        <v>205</v>
      </c>
      <c r="B13" s="7" t="s">
        <v>15</v>
      </c>
      <c r="C13" s="5" t="s">
        <v>17</v>
      </c>
      <c r="D13" s="5">
        <v>1.5</v>
      </c>
      <c r="E13" s="8">
        <v>180000</v>
      </c>
      <c r="F13" s="8">
        <f t="shared" si="0"/>
        <v>270000</v>
      </c>
    </row>
    <row r="14" spans="1:10" ht="16.5" x14ac:dyDescent="0.35">
      <c r="A14" s="20">
        <v>206</v>
      </c>
      <c r="B14" s="7" t="s">
        <v>16</v>
      </c>
      <c r="C14" s="5" t="s">
        <v>17</v>
      </c>
      <c r="D14" s="5">
        <v>6.12</v>
      </c>
      <c r="E14" s="8">
        <v>180000</v>
      </c>
      <c r="F14" s="8">
        <f t="shared" si="0"/>
        <v>1101600</v>
      </c>
    </row>
    <row r="15" spans="1:10" ht="16.5" x14ac:dyDescent="0.35">
      <c r="A15" s="20">
        <v>207</v>
      </c>
      <c r="B15" s="7" t="s">
        <v>24</v>
      </c>
      <c r="C15" s="5" t="s">
        <v>17</v>
      </c>
      <c r="D15" s="5">
        <v>8.8000000000000007</v>
      </c>
      <c r="E15" s="8">
        <v>100000</v>
      </c>
      <c r="F15" s="8">
        <f t="shared" si="0"/>
        <v>880000.00000000012</v>
      </c>
    </row>
    <row r="16" spans="1:10" ht="16.5" x14ac:dyDescent="0.35">
      <c r="A16" s="20">
        <v>208</v>
      </c>
      <c r="B16" s="7" t="s">
        <v>23</v>
      </c>
      <c r="C16" s="5" t="s">
        <v>18</v>
      </c>
      <c r="D16" s="5">
        <v>45</v>
      </c>
      <c r="E16" s="8">
        <v>17500</v>
      </c>
      <c r="F16" s="8">
        <f t="shared" si="0"/>
        <v>787500</v>
      </c>
    </row>
    <row r="17" spans="1:6" ht="16.5" x14ac:dyDescent="0.35">
      <c r="A17" s="20">
        <v>209</v>
      </c>
      <c r="B17" s="7" t="s">
        <v>25</v>
      </c>
      <c r="C17" s="5" t="s">
        <v>18</v>
      </c>
      <c r="D17" s="5">
        <v>135</v>
      </c>
      <c r="E17" s="8">
        <v>1000</v>
      </c>
      <c r="F17" s="8">
        <f t="shared" si="0"/>
        <v>135000</v>
      </c>
    </row>
    <row r="18" spans="1:6" ht="16.5" x14ac:dyDescent="0.35">
      <c r="A18" s="20">
        <v>210</v>
      </c>
      <c r="B18" s="7" t="s">
        <v>26</v>
      </c>
      <c r="C18" s="5" t="s">
        <v>18</v>
      </c>
      <c r="D18" s="5">
        <v>125</v>
      </c>
      <c r="E18" s="8">
        <v>1000</v>
      </c>
      <c r="F18" s="8">
        <f t="shared" si="0"/>
        <v>125000</v>
      </c>
    </row>
    <row r="19" spans="1:6" x14ac:dyDescent="0.35">
      <c r="A19" s="20"/>
      <c r="B19" s="26" t="s">
        <v>19</v>
      </c>
      <c r="C19" s="26"/>
      <c r="D19" s="26"/>
      <c r="E19" s="26"/>
      <c r="F19" s="17">
        <f>SUM(F9:F18)</f>
        <v>4619200</v>
      </c>
    </row>
    <row r="20" spans="1:6" s="11" customFormat="1" x14ac:dyDescent="0.35">
      <c r="A20" s="19">
        <v>300</v>
      </c>
      <c r="B20" s="6" t="s">
        <v>28</v>
      </c>
      <c r="C20" s="10"/>
      <c r="D20" s="10"/>
      <c r="E20" s="6"/>
      <c r="F20" s="6"/>
    </row>
    <row r="21" spans="1:6" ht="16.5" x14ac:dyDescent="0.35">
      <c r="A21" s="20">
        <v>301</v>
      </c>
      <c r="B21" s="7" t="s">
        <v>20</v>
      </c>
      <c r="C21" s="5" t="s">
        <v>17</v>
      </c>
      <c r="D21" s="5">
        <v>3.8</v>
      </c>
      <c r="E21" s="8">
        <v>180000</v>
      </c>
      <c r="F21" s="8">
        <f>D21*E21</f>
        <v>684000</v>
      </c>
    </row>
    <row r="22" spans="1:6" ht="16.5" x14ac:dyDescent="0.35">
      <c r="A22" s="20">
        <v>302</v>
      </c>
      <c r="B22" s="7" t="s">
        <v>29</v>
      </c>
      <c r="C22" s="5" t="s">
        <v>17</v>
      </c>
      <c r="D22" s="5">
        <v>6.2</v>
      </c>
      <c r="E22" s="8">
        <v>180000</v>
      </c>
      <c r="F22" s="8">
        <f t="shared" ref="F22:F31" si="1">D22*E22</f>
        <v>1116000</v>
      </c>
    </row>
    <row r="23" spans="1:6" ht="16.5" x14ac:dyDescent="0.35">
      <c r="A23" s="20">
        <v>303</v>
      </c>
      <c r="B23" s="7" t="s">
        <v>21</v>
      </c>
      <c r="C23" s="5" t="s">
        <v>17</v>
      </c>
      <c r="D23" s="5">
        <v>2.5</v>
      </c>
      <c r="E23" s="8">
        <v>180000</v>
      </c>
      <c r="F23" s="8">
        <f t="shared" si="1"/>
        <v>450000</v>
      </c>
    </row>
    <row r="24" spans="1:6" ht="16.5" x14ac:dyDescent="0.35">
      <c r="A24" s="20">
        <v>304</v>
      </c>
      <c r="B24" s="7" t="s">
        <v>100</v>
      </c>
      <c r="C24" s="5" t="s">
        <v>17</v>
      </c>
      <c r="D24" s="5">
        <v>15.2</v>
      </c>
      <c r="E24" s="8">
        <v>180000</v>
      </c>
      <c r="F24" s="8">
        <f t="shared" si="1"/>
        <v>2736000</v>
      </c>
    </row>
    <row r="25" spans="1:6" ht="16.5" x14ac:dyDescent="0.35">
      <c r="A25" s="20">
        <v>305</v>
      </c>
      <c r="B25" s="12" t="s">
        <v>30</v>
      </c>
      <c r="C25" s="5" t="s">
        <v>18</v>
      </c>
      <c r="D25" s="5">
        <v>412.8</v>
      </c>
      <c r="E25" s="8">
        <v>7800</v>
      </c>
      <c r="F25" s="8">
        <f t="shared" si="1"/>
        <v>3219840</v>
      </c>
    </row>
    <row r="26" spans="1:6" ht="16.5" x14ac:dyDescent="0.35">
      <c r="A26" s="20">
        <v>306</v>
      </c>
      <c r="B26" s="12" t="s">
        <v>67</v>
      </c>
      <c r="C26" s="5" t="s">
        <v>18</v>
      </c>
      <c r="D26" s="5">
        <v>825.6</v>
      </c>
      <c r="E26" s="8">
        <v>2500</v>
      </c>
      <c r="F26" s="8">
        <f t="shared" si="1"/>
        <v>2064000</v>
      </c>
    </row>
    <row r="27" spans="1:6" ht="16.5" x14ac:dyDescent="0.35">
      <c r="A27" s="20">
        <v>307</v>
      </c>
      <c r="B27" s="12" t="s">
        <v>66</v>
      </c>
      <c r="C27" s="5" t="s">
        <v>18</v>
      </c>
      <c r="D27" s="5">
        <v>90.3</v>
      </c>
      <c r="E27" s="8">
        <v>3000</v>
      </c>
      <c r="F27" s="8">
        <f t="shared" si="1"/>
        <v>270900</v>
      </c>
    </row>
    <row r="28" spans="1:6" ht="16.5" x14ac:dyDescent="0.35">
      <c r="A28" s="20">
        <v>308</v>
      </c>
      <c r="B28" s="12" t="s">
        <v>37</v>
      </c>
      <c r="C28" s="5" t="s">
        <v>18</v>
      </c>
      <c r="D28" s="5">
        <v>125</v>
      </c>
      <c r="E28" s="8">
        <v>3000</v>
      </c>
      <c r="F28" s="8">
        <f t="shared" si="1"/>
        <v>375000</v>
      </c>
    </row>
    <row r="29" spans="1:6" ht="16.5" x14ac:dyDescent="0.35">
      <c r="A29" s="20">
        <v>309</v>
      </c>
      <c r="B29" s="12" t="s">
        <v>31</v>
      </c>
      <c r="C29" s="5" t="s">
        <v>18</v>
      </c>
      <c r="D29" s="5">
        <v>130.9</v>
      </c>
      <c r="E29" s="8">
        <v>10900</v>
      </c>
      <c r="F29" s="8">
        <f t="shared" si="1"/>
        <v>1426810</v>
      </c>
    </row>
    <row r="30" spans="1:6" ht="16.5" x14ac:dyDescent="0.35">
      <c r="A30" s="20">
        <v>310</v>
      </c>
      <c r="B30" s="12" t="s">
        <v>32</v>
      </c>
      <c r="C30" s="5" t="s">
        <v>18</v>
      </c>
      <c r="D30" s="5">
        <v>71.3</v>
      </c>
      <c r="E30" s="8">
        <v>9000</v>
      </c>
      <c r="F30" s="8">
        <f t="shared" si="1"/>
        <v>641700</v>
      </c>
    </row>
    <row r="31" spans="1:6" ht="16.5" x14ac:dyDescent="0.35">
      <c r="A31" s="20">
        <v>311</v>
      </c>
      <c r="B31" s="12" t="s">
        <v>33</v>
      </c>
      <c r="C31" s="5" t="s">
        <v>18</v>
      </c>
      <c r="D31" s="5">
        <v>81.099999999999994</v>
      </c>
      <c r="E31" s="8">
        <v>14000</v>
      </c>
      <c r="F31" s="8">
        <f t="shared" si="1"/>
        <v>1135400</v>
      </c>
    </row>
    <row r="32" spans="1:6" x14ac:dyDescent="0.35">
      <c r="A32" s="20"/>
      <c r="B32" s="26" t="s">
        <v>34</v>
      </c>
      <c r="C32" s="26"/>
      <c r="D32" s="26"/>
      <c r="E32" s="26"/>
      <c r="F32" s="17">
        <f>SUM(F21:F31)</f>
        <v>14119650</v>
      </c>
    </row>
    <row r="33" spans="1:6" s="11" customFormat="1" x14ac:dyDescent="0.35">
      <c r="A33" s="19">
        <v>400</v>
      </c>
      <c r="B33" s="6" t="s">
        <v>35</v>
      </c>
      <c r="C33" s="10"/>
      <c r="D33" s="10"/>
      <c r="E33" s="6"/>
      <c r="F33" s="6"/>
    </row>
    <row r="34" spans="1:6" ht="16.5" x14ac:dyDescent="0.35">
      <c r="A34" s="20">
        <v>401</v>
      </c>
      <c r="B34" s="7" t="s">
        <v>20</v>
      </c>
      <c r="C34" s="5" t="s">
        <v>17</v>
      </c>
      <c r="D34" s="5">
        <v>3.8</v>
      </c>
      <c r="E34" s="8">
        <v>180000</v>
      </c>
      <c r="F34" s="9">
        <f>D34*E34</f>
        <v>684000</v>
      </c>
    </row>
    <row r="35" spans="1:6" ht="16.5" x14ac:dyDescent="0.35">
      <c r="A35" s="20">
        <v>402</v>
      </c>
      <c r="B35" s="7" t="s">
        <v>29</v>
      </c>
      <c r="C35" s="5" t="s">
        <v>17</v>
      </c>
      <c r="D35" s="5">
        <v>6.3</v>
      </c>
      <c r="E35" s="8">
        <v>180000</v>
      </c>
      <c r="F35" s="9">
        <f t="shared" ref="F35:F42" si="2">D35*E35</f>
        <v>1134000</v>
      </c>
    </row>
    <row r="36" spans="1:6" ht="16.5" x14ac:dyDescent="0.35">
      <c r="A36" s="20">
        <v>403</v>
      </c>
      <c r="B36" s="12" t="s">
        <v>30</v>
      </c>
      <c r="C36" s="5" t="s">
        <v>18</v>
      </c>
      <c r="D36" s="5">
        <v>370</v>
      </c>
      <c r="E36" s="8">
        <v>7800</v>
      </c>
      <c r="F36" s="9">
        <f t="shared" si="2"/>
        <v>2886000</v>
      </c>
    </row>
    <row r="37" spans="1:6" ht="16.5" x14ac:dyDescent="0.35">
      <c r="A37" s="20">
        <v>404</v>
      </c>
      <c r="B37" s="12" t="s">
        <v>67</v>
      </c>
      <c r="C37" s="5" t="s">
        <v>18</v>
      </c>
      <c r="D37" s="5">
        <v>740</v>
      </c>
      <c r="E37" s="8">
        <v>2700</v>
      </c>
      <c r="F37" s="9">
        <f t="shared" si="2"/>
        <v>1998000</v>
      </c>
    </row>
    <row r="38" spans="1:6" ht="16.5" x14ac:dyDescent="0.35">
      <c r="A38" s="20">
        <v>405</v>
      </c>
      <c r="B38" s="12" t="s">
        <v>37</v>
      </c>
      <c r="C38" s="5" t="s">
        <v>18</v>
      </c>
      <c r="D38" s="5">
        <v>85.7</v>
      </c>
      <c r="E38" s="8">
        <v>10900</v>
      </c>
      <c r="F38" s="9">
        <f t="shared" si="2"/>
        <v>934130</v>
      </c>
    </row>
    <row r="39" spans="1:6" ht="16.5" x14ac:dyDescent="0.35">
      <c r="A39" s="20">
        <v>406</v>
      </c>
      <c r="B39" s="12" t="s">
        <v>31</v>
      </c>
      <c r="C39" s="5" t="s">
        <v>18</v>
      </c>
      <c r="D39" s="5">
        <v>90</v>
      </c>
      <c r="E39" s="8">
        <v>10900</v>
      </c>
      <c r="F39" s="9">
        <f t="shared" si="2"/>
        <v>981000</v>
      </c>
    </row>
    <row r="40" spans="1:6" ht="16.5" x14ac:dyDescent="0.35">
      <c r="A40" s="20">
        <v>407</v>
      </c>
      <c r="B40" s="12" t="s">
        <v>32</v>
      </c>
      <c r="C40" s="5" t="s">
        <v>18</v>
      </c>
      <c r="D40" s="5">
        <v>62.5</v>
      </c>
      <c r="E40" s="8">
        <v>16000</v>
      </c>
      <c r="F40" s="9">
        <f t="shared" si="2"/>
        <v>1000000</v>
      </c>
    </row>
    <row r="41" spans="1:6" ht="16.5" x14ac:dyDescent="0.35">
      <c r="A41" s="20">
        <v>408</v>
      </c>
      <c r="B41" s="12" t="s">
        <v>33</v>
      </c>
      <c r="C41" s="5" t="s">
        <v>18</v>
      </c>
      <c r="D41" s="5">
        <v>106.5</v>
      </c>
      <c r="E41" s="8">
        <v>12500</v>
      </c>
      <c r="F41" s="9">
        <f t="shared" si="2"/>
        <v>1331250</v>
      </c>
    </row>
    <row r="42" spans="1:6" ht="16.5" x14ac:dyDescent="0.35">
      <c r="A42" s="20">
        <v>409</v>
      </c>
      <c r="B42" s="12" t="s">
        <v>69</v>
      </c>
      <c r="C42" s="5" t="s">
        <v>17</v>
      </c>
      <c r="D42" s="5">
        <v>6.05</v>
      </c>
      <c r="E42" s="7">
        <v>120000</v>
      </c>
      <c r="F42" s="9">
        <f t="shared" si="2"/>
        <v>726000</v>
      </c>
    </row>
    <row r="43" spans="1:6" x14ac:dyDescent="0.35">
      <c r="A43" s="20"/>
      <c r="B43" s="26" t="s">
        <v>38</v>
      </c>
      <c r="C43" s="26"/>
      <c r="D43" s="26"/>
      <c r="E43" s="26"/>
      <c r="F43" s="17">
        <f>SUM(F34:F42)</f>
        <v>11674380</v>
      </c>
    </row>
    <row r="44" spans="1:6" s="11" customFormat="1" x14ac:dyDescent="0.35">
      <c r="A44" s="19">
        <v>500</v>
      </c>
      <c r="B44" s="6" t="s">
        <v>39</v>
      </c>
      <c r="C44" s="10"/>
      <c r="D44" s="10"/>
      <c r="E44" s="6"/>
      <c r="F44" s="6"/>
    </row>
    <row r="45" spans="1:6" ht="16.5" x14ac:dyDescent="0.35">
      <c r="A45" s="20">
        <v>501</v>
      </c>
      <c r="B45" s="12" t="s">
        <v>106</v>
      </c>
      <c r="C45" s="5" t="s">
        <v>17</v>
      </c>
      <c r="D45" s="5">
        <v>806.2</v>
      </c>
      <c r="E45" s="8">
        <v>3500</v>
      </c>
      <c r="F45" s="8">
        <f>D45*E45</f>
        <v>2821700</v>
      </c>
    </row>
    <row r="46" spans="1:6" ht="16.5" x14ac:dyDescent="0.35">
      <c r="A46" s="20">
        <v>502</v>
      </c>
      <c r="B46" s="12" t="s">
        <v>107</v>
      </c>
      <c r="C46" s="5" t="s">
        <v>17</v>
      </c>
      <c r="D46" s="5">
        <v>520</v>
      </c>
      <c r="E46" s="8">
        <v>2000</v>
      </c>
      <c r="F46" s="8">
        <f t="shared" ref="F46:F48" si="3">D46*E46</f>
        <v>1040000</v>
      </c>
    </row>
    <row r="47" spans="1:6" ht="16.5" x14ac:dyDescent="0.35">
      <c r="A47" s="20">
        <v>503</v>
      </c>
      <c r="B47" s="12" t="s">
        <v>40</v>
      </c>
      <c r="C47" s="5" t="s">
        <v>18</v>
      </c>
      <c r="D47" s="5">
        <v>252.6</v>
      </c>
      <c r="E47" s="8">
        <v>7500</v>
      </c>
      <c r="F47" s="8">
        <f t="shared" si="3"/>
        <v>1894500</v>
      </c>
    </row>
    <row r="48" spans="1:6" x14ac:dyDescent="0.35">
      <c r="A48" s="20">
        <v>504</v>
      </c>
      <c r="B48" s="12" t="s">
        <v>41</v>
      </c>
      <c r="C48" s="5" t="s">
        <v>70</v>
      </c>
      <c r="D48" s="5">
        <v>1</v>
      </c>
      <c r="E48" s="8">
        <v>250000</v>
      </c>
      <c r="F48" s="8">
        <f t="shared" si="3"/>
        <v>250000</v>
      </c>
    </row>
    <row r="49" spans="1:6" x14ac:dyDescent="0.35">
      <c r="A49" s="20"/>
      <c r="B49" s="7"/>
      <c r="C49" s="5"/>
      <c r="D49" s="5"/>
      <c r="E49" s="8"/>
      <c r="F49" s="8"/>
    </row>
    <row r="50" spans="1:6" x14ac:dyDescent="0.35">
      <c r="A50" s="20"/>
      <c r="B50" s="26" t="s">
        <v>42</v>
      </c>
      <c r="C50" s="26"/>
      <c r="D50" s="26"/>
      <c r="E50" s="26"/>
      <c r="F50" s="17">
        <f>SUM(F45:F48)</f>
        <v>6006200</v>
      </c>
    </row>
    <row r="51" spans="1:6" s="11" customFormat="1" x14ac:dyDescent="0.35">
      <c r="A51" s="19">
        <v>600</v>
      </c>
      <c r="B51" s="6" t="s">
        <v>43</v>
      </c>
      <c r="C51" s="10"/>
      <c r="D51" s="10"/>
      <c r="E51" s="6"/>
      <c r="F51" s="6"/>
    </row>
    <row r="52" spans="1:6" x14ac:dyDescent="0.35">
      <c r="A52" s="20">
        <v>601</v>
      </c>
      <c r="B52" s="12" t="s">
        <v>113</v>
      </c>
      <c r="C52" s="5" t="s">
        <v>73</v>
      </c>
      <c r="D52" s="5">
        <v>5</v>
      </c>
      <c r="E52" s="8">
        <v>75000</v>
      </c>
      <c r="F52" s="8">
        <f>D52*E52</f>
        <v>375000</v>
      </c>
    </row>
    <row r="53" spans="1:6" x14ac:dyDescent="0.35">
      <c r="A53" s="20">
        <v>602</v>
      </c>
      <c r="B53" s="12" t="s">
        <v>71</v>
      </c>
      <c r="C53" s="5" t="s">
        <v>73</v>
      </c>
      <c r="D53" s="5">
        <v>7</v>
      </c>
      <c r="E53" s="8">
        <v>100000</v>
      </c>
      <c r="F53" s="8">
        <f t="shared" ref="F53:F58" si="4">D53*E53</f>
        <v>700000</v>
      </c>
    </row>
    <row r="54" spans="1:6" x14ac:dyDescent="0.35">
      <c r="A54" s="20">
        <v>603</v>
      </c>
      <c r="B54" s="12" t="s">
        <v>72</v>
      </c>
      <c r="C54" s="5" t="s">
        <v>73</v>
      </c>
      <c r="D54" s="5">
        <v>2</v>
      </c>
      <c r="E54" s="8">
        <v>220000</v>
      </c>
      <c r="F54" s="8">
        <f t="shared" si="4"/>
        <v>440000</v>
      </c>
    </row>
    <row r="55" spans="1:6" x14ac:dyDescent="0.35">
      <c r="A55" s="20">
        <v>604</v>
      </c>
      <c r="B55" s="12" t="s">
        <v>114</v>
      </c>
      <c r="C55" s="5" t="s">
        <v>73</v>
      </c>
      <c r="D55" s="5">
        <v>1</v>
      </c>
      <c r="E55" s="8">
        <v>85000</v>
      </c>
      <c r="F55" s="8">
        <f>D55*E55</f>
        <v>85000</v>
      </c>
    </row>
    <row r="56" spans="1:6" x14ac:dyDescent="0.35">
      <c r="A56" s="20">
        <v>605</v>
      </c>
      <c r="B56" s="12" t="s">
        <v>112</v>
      </c>
      <c r="C56" s="5" t="s">
        <v>73</v>
      </c>
      <c r="D56" s="5">
        <v>39</v>
      </c>
      <c r="E56" s="8">
        <v>55000</v>
      </c>
      <c r="F56" s="8">
        <f t="shared" si="4"/>
        <v>2145000</v>
      </c>
    </row>
    <row r="57" spans="1:6" x14ac:dyDescent="0.35">
      <c r="A57" s="20">
        <v>606</v>
      </c>
      <c r="B57" s="12" t="s">
        <v>74</v>
      </c>
      <c r="C57" s="5" t="s">
        <v>76</v>
      </c>
      <c r="D57" s="5">
        <v>9.5</v>
      </c>
      <c r="E57" s="8">
        <v>24700</v>
      </c>
      <c r="F57" s="8">
        <f t="shared" si="4"/>
        <v>234650</v>
      </c>
    </row>
    <row r="58" spans="1:6" x14ac:dyDescent="0.35">
      <c r="A58" s="20">
        <v>607</v>
      </c>
      <c r="B58" s="12" t="s">
        <v>75</v>
      </c>
      <c r="C58" s="5" t="s">
        <v>76</v>
      </c>
      <c r="D58" s="5">
        <v>8.4</v>
      </c>
      <c r="E58" s="8">
        <v>24700</v>
      </c>
      <c r="F58" s="8">
        <f t="shared" si="4"/>
        <v>207480</v>
      </c>
    </row>
    <row r="59" spans="1:6" x14ac:dyDescent="0.35">
      <c r="A59" s="20"/>
      <c r="B59" s="7"/>
      <c r="C59" s="5"/>
      <c r="D59" s="5"/>
      <c r="E59" s="7"/>
      <c r="F59" s="7"/>
    </row>
    <row r="60" spans="1:6" x14ac:dyDescent="0.35">
      <c r="A60" s="20"/>
      <c r="B60" s="26" t="s">
        <v>44</v>
      </c>
      <c r="C60" s="26"/>
      <c r="D60" s="26"/>
      <c r="E60" s="26"/>
      <c r="F60" s="17">
        <f>SUM(F52:F58)</f>
        <v>4187130</v>
      </c>
    </row>
    <row r="61" spans="1:6" s="11" customFormat="1" x14ac:dyDescent="0.35">
      <c r="A61" s="19">
        <v>700</v>
      </c>
      <c r="B61" s="6" t="s">
        <v>53</v>
      </c>
      <c r="C61" s="10"/>
      <c r="D61" s="10"/>
      <c r="E61" s="6"/>
      <c r="F61" s="6"/>
    </row>
    <row r="62" spans="1:6" x14ac:dyDescent="0.35">
      <c r="A62" s="20">
        <v>701</v>
      </c>
      <c r="B62" s="12" t="s">
        <v>45</v>
      </c>
      <c r="C62" s="5" t="s">
        <v>73</v>
      </c>
      <c r="D62" s="5">
        <v>30</v>
      </c>
      <c r="E62" s="8">
        <v>1000</v>
      </c>
      <c r="F62" s="8">
        <f>D62*E62</f>
        <v>30000</v>
      </c>
    </row>
    <row r="63" spans="1:6" x14ac:dyDescent="0.35">
      <c r="A63" s="20">
        <v>702</v>
      </c>
      <c r="B63" s="12" t="s">
        <v>46</v>
      </c>
      <c r="C63" s="5" t="s">
        <v>73</v>
      </c>
      <c r="D63" s="5">
        <v>27</v>
      </c>
      <c r="E63" s="8">
        <v>800</v>
      </c>
      <c r="F63" s="8">
        <f t="shared" ref="F63:F72" si="5">D63*E63</f>
        <v>21600</v>
      </c>
    </row>
    <row r="64" spans="1:6" x14ac:dyDescent="0.35">
      <c r="A64" s="20">
        <v>703</v>
      </c>
      <c r="B64" s="12" t="s">
        <v>47</v>
      </c>
      <c r="C64" s="5" t="s">
        <v>73</v>
      </c>
      <c r="D64" s="5">
        <v>4</v>
      </c>
      <c r="E64" s="8">
        <v>25000</v>
      </c>
      <c r="F64" s="8">
        <f t="shared" si="5"/>
        <v>100000</v>
      </c>
    </row>
    <row r="65" spans="1:6" x14ac:dyDescent="0.35">
      <c r="A65" s="20">
        <v>704</v>
      </c>
      <c r="B65" s="12" t="s">
        <v>123</v>
      </c>
      <c r="C65" s="5" t="s">
        <v>73</v>
      </c>
      <c r="D65" s="5">
        <v>1</v>
      </c>
      <c r="E65" s="8">
        <v>350000</v>
      </c>
      <c r="F65" s="8">
        <f t="shared" si="5"/>
        <v>350000</v>
      </c>
    </row>
    <row r="66" spans="1:6" x14ac:dyDescent="0.35">
      <c r="A66" s="20">
        <v>705</v>
      </c>
      <c r="B66" s="12" t="s">
        <v>78</v>
      </c>
      <c r="C66" s="5" t="s">
        <v>73</v>
      </c>
      <c r="D66" s="5">
        <v>40</v>
      </c>
      <c r="E66" s="8">
        <v>2500</v>
      </c>
      <c r="F66" s="8">
        <f t="shared" si="5"/>
        <v>100000</v>
      </c>
    </row>
    <row r="67" spans="1:6" x14ac:dyDescent="0.35">
      <c r="A67" s="20">
        <v>706</v>
      </c>
      <c r="B67" s="12" t="s">
        <v>48</v>
      </c>
      <c r="C67" s="5" t="s">
        <v>77</v>
      </c>
      <c r="D67" s="5">
        <v>40</v>
      </c>
      <c r="E67" s="8">
        <v>16500</v>
      </c>
      <c r="F67" s="8">
        <f t="shared" si="5"/>
        <v>660000</v>
      </c>
    </row>
    <row r="68" spans="1:6" x14ac:dyDescent="0.35">
      <c r="A68" s="20">
        <v>707</v>
      </c>
      <c r="B68" s="12" t="s">
        <v>49</v>
      </c>
      <c r="C68" s="5" t="s">
        <v>77</v>
      </c>
      <c r="D68" s="5">
        <v>30</v>
      </c>
      <c r="E68" s="8">
        <v>11500</v>
      </c>
      <c r="F68" s="8">
        <f t="shared" si="5"/>
        <v>345000</v>
      </c>
    </row>
    <row r="69" spans="1:6" x14ac:dyDescent="0.35">
      <c r="A69" s="20">
        <v>708</v>
      </c>
      <c r="B69" s="12" t="s">
        <v>50</v>
      </c>
      <c r="C69" s="5" t="s">
        <v>77</v>
      </c>
      <c r="D69" s="5">
        <v>20</v>
      </c>
      <c r="E69" s="8">
        <v>17000</v>
      </c>
      <c r="F69" s="8">
        <f t="shared" si="5"/>
        <v>340000</v>
      </c>
    </row>
    <row r="70" spans="1:6" x14ac:dyDescent="0.35">
      <c r="A70" s="20">
        <v>709</v>
      </c>
      <c r="B70" s="12" t="s">
        <v>51</v>
      </c>
      <c r="C70" s="5" t="s">
        <v>77</v>
      </c>
      <c r="D70" s="5">
        <v>1</v>
      </c>
      <c r="E70" s="8">
        <v>30000</v>
      </c>
      <c r="F70" s="8">
        <f t="shared" si="5"/>
        <v>30000</v>
      </c>
    </row>
    <row r="71" spans="1:6" x14ac:dyDescent="0.35">
      <c r="A71" s="20">
        <v>710</v>
      </c>
      <c r="B71" s="12" t="s">
        <v>52</v>
      </c>
      <c r="C71" s="5" t="s">
        <v>12</v>
      </c>
      <c r="D71" s="5">
        <v>1</v>
      </c>
      <c r="E71" s="8">
        <v>150000</v>
      </c>
      <c r="F71" s="8">
        <f t="shared" si="5"/>
        <v>150000</v>
      </c>
    </row>
    <row r="72" spans="1:6" x14ac:dyDescent="0.35">
      <c r="A72" s="20">
        <v>711</v>
      </c>
      <c r="B72" s="12" t="s">
        <v>64</v>
      </c>
      <c r="C72" s="5" t="s">
        <v>12</v>
      </c>
      <c r="D72" s="5">
        <v>1</v>
      </c>
      <c r="E72" s="8">
        <v>200000</v>
      </c>
      <c r="F72" s="8">
        <f t="shared" si="5"/>
        <v>200000</v>
      </c>
    </row>
    <row r="73" spans="1:6" x14ac:dyDescent="0.35">
      <c r="A73" s="20"/>
      <c r="B73" s="7"/>
      <c r="C73" s="5"/>
      <c r="D73" s="5"/>
      <c r="E73" s="7"/>
      <c r="F73" s="7"/>
    </row>
    <row r="74" spans="1:6" x14ac:dyDescent="0.35">
      <c r="A74" s="20"/>
      <c r="B74" s="26" t="s">
        <v>44</v>
      </c>
      <c r="C74" s="26"/>
      <c r="D74" s="26"/>
      <c r="E74" s="26"/>
      <c r="F74" s="17">
        <f>SUM(F62:F72)</f>
        <v>2326600</v>
      </c>
    </row>
    <row r="75" spans="1:6" s="11" customFormat="1" x14ac:dyDescent="0.35">
      <c r="A75" s="19">
        <v>800</v>
      </c>
      <c r="B75" s="6" t="s">
        <v>54</v>
      </c>
      <c r="C75" s="10"/>
      <c r="D75" s="10"/>
      <c r="E75" s="6"/>
      <c r="F75" s="6"/>
    </row>
    <row r="76" spans="1:6" x14ac:dyDescent="0.35">
      <c r="A76" s="20">
        <v>801</v>
      </c>
      <c r="B76" s="12" t="s">
        <v>119</v>
      </c>
      <c r="C76" s="5" t="s">
        <v>12</v>
      </c>
      <c r="D76" s="5">
        <v>1</v>
      </c>
      <c r="E76" s="8">
        <v>250000</v>
      </c>
      <c r="F76" s="8">
        <f>D76*E76</f>
        <v>250000</v>
      </c>
    </row>
    <row r="77" spans="1:6" x14ac:dyDescent="0.35">
      <c r="A77" s="20">
        <v>802</v>
      </c>
      <c r="B77" s="12" t="s">
        <v>55</v>
      </c>
      <c r="C77" s="5" t="s">
        <v>12</v>
      </c>
      <c r="D77" s="5">
        <v>1</v>
      </c>
      <c r="E77" s="8">
        <v>300000</v>
      </c>
      <c r="F77" s="8">
        <f t="shared" ref="F77:F85" si="6">D77*E77</f>
        <v>300000</v>
      </c>
    </row>
    <row r="78" spans="1:6" x14ac:dyDescent="0.35">
      <c r="A78" s="20">
        <v>803</v>
      </c>
      <c r="B78" s="12" t="s">
        <v>58</v>
      </c>
      <c r="C78" s="5" t="s">
        <v>73</v>
      </c>
      <c r="D78" s="5">
        <v>5</v>
      </c>
      <c r="E78" s="8">
        <v>120000</v>
      </c>
      <c r="F78" s="8">
        <f t="shared" si="6"/>
        <v>600000</v>
      </c>
    </row>
    <row r="79" spans="1:6" x14ac:dyDescent="0.35">
      <c r="A79" s="20">
        <v>804</v>
      </c>
      <c r="B79" s="12" t="s">
        <v>120</v>
      </c>
      <c r="C79" s="5" t="s">
        <v>73</v>
      </c>
      <c r="D79" s="5">
        <v>5</v>
      </c>
      <c r="E79" s="8">
        <v>120000</v>
      </c>
      <c r="F79" s="8">
        <f t="shared" ref="F79" si="7">D79*E79</f>
        <v>600000</v>
      </c>
    </row>
    <row r="80" spans="1:6" x14ac:dyDescent="0.35">
      <c r="A80" s="20">
        <v>805</v>
      </c>
      <c r="B80" s="12" t="s">
        <v>59</v>
      </c>
      <c r="C80" s="5" t="s">
        <v>73</v>
      </c>
      <c r="D80" s="5">
        <v>5</v>
      </c>
      <c r="E80" s="8">
        <v>15000</v>
      </c>
      <c r="F80" s="8">
        <f t="shared" si="6"/>
        <v>75000</v>
      </c>
    </row>
    <row r="81" spans="1:6" x14ac:dyDescent="0.35">
      <c r="A81" s="20">
        <v>806</v>
      </c>
      <c r="B81" s="12" t="s">
        <v>118</v>
      </c>
      <c r="C81" s="5" t="s">
        <v>73</v>
      </c>
      <c r="D81" s="5">
        <v>2</v>
      </c>
      <c r="E81" s="8">
        <v>1500000</v>
      </c>
      <c r="F81" s="8">
        <f t="shared" ref="F81" si="8">D81*E81</f>
        <v>3000000</v>
      </c>
    </row>
    <row r="82" spans="1:6" x14ac:dyDescent="0.35">
      <c r="A82" s="20">
        <v>807</v>
      </c>
      <c r="B82" s="12" t="s">
        <v>60</v>
      </c>
      <c r="C82" s="5" t="s">
        <v>73</v>
      </c>
      <c r="D82" s="5">
        <v>5</v>
      </c>
      <c r="E82" s="8">
        <v>25000</v>
      </c>
      <c r="F82" s="8">
        <f t="shared" si="6"/>
        <v>125000</v>
      </c>
    </row>
    <row r="83" spans="1:6" x14ac:dyDescent="0.35">
      <c r="A83" s="20">
        <v>808</v>
      </c>
      <c r="B83" s="12" t="s">
        <v>61</v>
      </c>
      <c r="C83" s="5" t="s">
        <v>73</v>
      </c>
      <c r="D83" s="5">
        <v>1</v>
      </c>
      <c r="E83" s="8">
        <v>200000</v>
      </c>
      <c r="F83" s="8">
        <f t="shared" si="6"/>
        <v>200000</v>
      </c>
    </row>
    <row r="84" spans="1:6" x14ac:dyDescent="0.35">
      <c r="A84" s="20">
        <v>809</v>
      </c>
      <c r="B84" s="12" t="s">
        <v>62</v>
      </c>
      <c r="C84" s="5" t="s">
        <v>12</v>
      </c>
      <c r="D84" s="5">
        <v>1</v>
      </c>
      <c r="E84" s="8">
        <v>300000</v>
      </c>
      <c r="F84" s="8">
        <f t="shared" si="6"/>
        <v>300000</v>
      </c>
    </row>
    <row r="85" spans="1:6" x14ac:dyDescent="0.35">
      <c r="A85" s="20">
        <v>810</v>
      </c>
      <c r="B85" s="12" t="s">
        <v>63</v>
      </c>
      <c r="C85" s="5" t="s">
        <v>12</v>
      </c>
      <c r="D85" s="5">
        <v>1</v>
      </c>
      <c r="E85" s="8">
        <v>1000000</v>
      </c>
      <c r="F85" s="8">
        <f t="shared" si="6"/>
        <v>1000000</v>
      </c>
    </row>
    <row r="86" spans="1:6" x14ac:dyDescent="0.35">
      <c r="A86" s="20"/>
      <c r="B86" s="7"/>
      <c r="C86" s="5"/>
      <c r="D86" s="5"/>
      <c r="E86" s="7"/>
      <c r="F86" s="7"/>
    </row>
    <row r="87" spans="1:6" x14ac:dyDescent="0.35">
      <c r="A87" s="20"/>
      <c r="B87" s="26" t="s">
        <v>56</v>
      </c>
      <c r="C87" s="26"/>
      <c r="D87" s="26"/>
      <c r="E87" s="26"/>
      <c r="F87" s="17">
        <f>SUM(F76:F85)</f>
        <v>6450000</v>
      </c>
    </row>
    <row r="88" spans="1:6" s="11" customFormat="1" x14ac:dyDescent="0.35">
      <c r="A88" s="19">
        <v>900</v>
      </c>
      <c r="B88" s="6" t="s">
        <v>57</v>
      </c>
      <c r="C88" s="10"/>
      <c r="D88" s="10"/>
      <c r="E88" s="6"/>
      <c r="F88" s="6"/>
    </row>
    <row r="89" spans="1:6" ht="16.5" x14ac:dyDescent="0.35">
      <c r="A89" s="20">
        <v>901</v>
      </c>
      <c r="B89" s="12" t="s">
        <v>79</v>
      </c>
      <c r="C89" s="5" t="s">
        <v>18</v>
      </c>
      <c r="D89" s="5">
        <v>1565.6</v>
      </c>
      <c r="E89" s="8">
        <v>200</v>
      </c>
      <c r="F89" s="8">
        <f>D89*E89</f>
        <v>313120</v>
      </c>
    </row>
    <row r="90" spans="1:6" ht="16.5" x14ac:dyDescent="0.35">
      <c r="A90" s="20">
        <v>902</v>
      </c>
      <c r="B90" s="12" t="s">
        <v>84</v>
      </c>
      <c r="C90" s="5" t="s">
        <v>18</v>
      </c>
      <c r="D90" s="5">
        <v>1565.6</v>
      </c>
      <c r="E90" s="8">
        <v>500</v>
      </c>
      <c r="F90" s="8">
        <f t="shared" ref="F90:F96" si="9">D90*E90</f>
        <v>782800</v>
      </c>
    </row>
    <row r="91" spans="1:6" ht="16.5" x14ac:dyDescent="0.35">
      <c r="A91" s="20">
        <v>903</v>
      </c>
      <c r="B91" s="12" t="s">
        <v>83</v>
      </c>
      <c r="C91" s="5" t="s">
        <v>18</v>
      </c>
      <c r="D91" s="5">
        <v>782.8</v>
      </c>
      <c r="E91" s="8">
        <v>2200</v>
      </c>
      <c r="F91" s="8">
        <f t="shared" si="9"/>
        <v>1722160</v>
      </c>
    </row>
    <row r="92" spans="1:6" ht="16.5" x14ac:dyDescent="0.35">
      <c r="A92" s="20">
        <v>904</v>
      </c>
      <c r="B92" s="12" t="s">
        <v>82</v>
      </c>
      <c r="C92" s="5" t="s">
        <v>18</v>
      </c>
      <c r="D92" s="5">
        <v>782.8</v>
      </c>
      <c r="E92" s="8">
        <v>1800</v>
      </c>
      <c r="F92" s="8">
        <f t="shared" si="9"/>
        <v>1409040</v>
      </c>
    </row>
    <row r="93" spans="1:6" ht="16.5" x14ac:dyDescent="0.35">
      <c r="A93" s="20">
        <v>905</v>
      </c>
      <c r="B93" s="12" t="s">
        <v>80</v>
      </c>
      <c r="C93" s="5" t="s">
        <v>18</v>
      </c>
      <c r="D93" s="5">
        <v>0</v>
      </c>
      <c r="E93" s="8">
        <v>1600</v>
      </c>
      <c r="F93" s="8">
        <f t="shared" si="9"/>
        <v>0</v>
      </c>
    </row>
    <row r="94" spans="1:6" ht="16.5" x14ac:dyDescent="0.35">
      <c r="A94" s="20">
        <v>906</v>
      </c>
      <c r="B94" s="12" t="s">
        <v>81</v>
      </c>
      <c r="C94" s="5" t="s">
        <v>18</v>
      </c>
      <c r="D94" s="5">
        <v>30</v>
      </c>
      <c r="E94" s="8">
        <v>3500</v>
      </c>
      <c r="F94" s="8">
        <f t="shared" si="9"/>
        <v>105000</v>
      </c>
    </row>
    <row r="95" spans="1:6" x14ac:dyDescent="0.35">
      <c r="A95" s="20">
        <v>907</v>
      </c>
      <c r="B95" s="12" t="s">
        <v>124</v>
      </c>
      <c r="C95" s="5" t="s">
        <v>12</v>
      </c>
      <c r="D95" s="5">
        <v>1</v>
      </c>
      <c r="E95" s="8">
        <v>1500000</v>
      </c>
      <c r="F95" s="8">
        <f t="shared" si="9"/>
        <v>1500000</v>
      </c>
    </row>
    <row r="96" spans="1:6" x14ac:dyDescent="0.35">
      <c r="A96" s="20">
        <v>908</v>
      </c>
      <c r="B96" s="7" t="s">
        <v>125</v>
      </c>
      <c r="C96" s="5" t="s">
        <v>12</v>
      </c>
      <c r="D96" s="5">
        <v>1</v>
      </c>
      <c r="E96" s="7">
        <v>3910000</v>
      </c>
      <c r="F96" s="8">
        <f t="shared" si="9"/>
        <v>3910000</v>
      </c>
    </row>
    <row r="97" spans="1:6" x14ac:dyDescent="0.35">
      <c r="A97" s="20"/>
      <c r="B97" s="26" t="s">
        <v>68</v>
      </c>
      <c r="C97" s="26"/>
      <c r="D97" s="26"/>
      <c r="E97" s="26"/>
      <c r="F97" s="17">
        <f>SUM(F89:F96)</f>
        <v>9742120</v>
      </c>
    </row>
    <row r="99" spans="1:6" ht="15.5" x14ac:dyDescent="0.35">
      <c r="A99" s="20"/>
      <c r="B99" s="23" t="s">
        <v>85</v>
      </c>
      <c r="C99" s="23"/>
      <c r="D99" s="23"/>
    </row>
    <row r="100" spans="1:6" x14ac:dyDescent="0.35">
      <c r="A100" s="19">
        <v>100</v>
      </c>
      <c r="B100" s="14" t="s">
        <v>27</v>
      </c>
      <c r="C100" s="14"/>
      <c r="D100" s="15">
        <f>F7</f>
        <v>550000</v>
      </c>
    </row>
    <row r="101" spans="1:6" x14ac:dyDescent="0.35">
      <c r="A101" s="19">
        <v>200</v>
      </c>
      <c r="B101" s="13" t="s">
        <v>11</v>
      </c>
      <c r="C101" s="5"/>
      <c r="D101" s="15">
        <f>F19</f>
        <v>4619200</v>
      </c>
    </row>
    <row r="102" spans="1:6" x14ac:dyDescent="0.35">
      <c r="A102" s="19">
        <v>300</v>
      </c>
      <c r="B102" s="13" t="s">
        <v>28</v>
      </c>
      <c r="C102" s="5"/>
      <c r="D102" s="15">
        <f>F32</f>
        <v>14119650</v>
      </c>
    </row>
    <row r="103" spans="1:6" x14ac:dyDescent="0.35">
      <c r="A103" s="19">
        <v>400</v>
      </c>
      <c r="B103" s="13" t="s">
        <v>35</v>
      </c>
      <c r="C103" s="5"/>
      <c r="D103" s="15">
        <f>F43</f>
        <v>11674380</v>
      </c>
    </row>
    <row r="104" spans="1:6" x14ac:dyDescent="0.35">
      <c r="A104" s="19">
        <v>500</v>
      </c>
      <c r="B104" s="13" t="s">
        <v>39</v>
      </c>
      <c r="C104" s="5"/>
      <c r="D104" s="15">
        <f>F50</f>
        <v>6006200</v>
      </c>
    </row>
    <row r="105" spans="1:6" x14ac:dyDescent="0.35">
      <c r="A105" s="19">
        <v>600</v>
      </c>
      <c r="B105" s="13" t="s">
        <v>43</v>
      </c>
      <c r="C105" s="5"/>
      <c r="D105" s="15">
        <f>F60</f>
        <v>4187130</v>
      </c>
    </row>
    <row r="106" spans="1:6" x14ac:dyDescent="0.35">
      <c r="A106" s="19">
        <v>700</v>
      </c>
      <c r="B106" s="13" t="s">
        <v>86</v>
      </c>
      <c r="C106" s="5"/>
      <c r="D106" s="15">
        <f>F74</f>
        <v>2326600</v>
      </c>
    </row>
    <row r="107" spans="1:6" x14ac:dyDescent="0.35">
      <c r="A107" s="19">
        <v>800</v>
      </c>
      <c r="B107" s="13" t="s">
        <v>87</v>
      </c>
      <c r="C107" s="5"/>
      <c r="D107" s="15">
        <f>F87</f>
        <v>6450000</v>
      </c>
    </row>
    <row r="108" spans="1:6" x14ac:dyDescent="0.35">
      <c r="A108" s="19">
        <v>900</v>
      </c>
      <c r="B108" s="13" t="s">
        <v>57</v>
      </c>
      <c r="C108" s="5"/>
      <c r="D108" s="15">
        <f>F97</f>
        <v>9742120</v>
      </c>
      <c r="E108" s="27"/>
      <c r="F108" s="28"/>
    </row>
    <row r="109" spans="1:6" ht="15.5" x14ac:dyDescent="0.35">
      <c r="A109" s="20"/>
      <c r="B109" s="24" t="s">
        <v>7</v>
      </c>
      <c r="C109" s="24"/>
      <c r="D109" s="16">
        <f>SUM(D100:D108)</f>
        <v>59675280</v>
      </c>
    </row>
  </sheetData>
  <mergeCells count="12">
    <mergeCell ref="B99:D99"/>
    <mergeCell ref="B109:C109"/>
    <mergeCell ref="A1:F1"/>
    <mergeCell ref="B60:E60"/>
    <mergeCell ref="B74:E74"/>
    <mergeCell ref="B87:E87"/>
    <mergeCell ref="B97:E97"/>
    <mergeCell ref="B19:E19"/>
    <mergeCell ref="B32:E32"/>
    <mergeCell ref="B43:E43"/>
    <mergeCell ref="B50:E50"/>
    <mergeCell ref="B7:E7"/>
  </mergeCells>
  <pageMargins left="0.4" right="0.25" top="0.5" bottom="0.25" header="0.3" footer="0.3"/>
  <pageSetup paperSize="9" scale="86" fitToHeight="0" orientation="portrait" r:id="rId1"/>
  <rowBreaks count="2" manualBreakCount="2">
    <brk id="50" max="5" man="1"/>
    <brk id="9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583A-C518-4846-9630-A320E23DD979}">
  <dimension ref="A1:X32"/>
  <sheetViews>
    <sheetView workbookViewId="0">
      <selection activeCell="W18" sqref="W18"/>
    </sheetView>
  </sheetViews>
  <sheetFormatPr defaultRowHeight="14.5" x14ac:dyDescent="0.35"/>
  <sheetData>
    <row r="1" spans="1:24" x14ac:dyDescent="0.35">
      <c r="A1" s="11">
        <v>9.5</v>
      </c>
      <c r="B1" s="11">
        <v>11.4</v>
      </c>
      <c r="C1" s="11">
        <v>9.5</v>
      </c>
      <c r="D1" s="11">
        <v>3.7</v>
      </c>
      <c r="E1" s="11">
        <v>2.4</v>
      </c>
      <c r="F1" s="11">
        <v>2.7</v>
      </c>
      <c r="G1" s="11">
        <v>5.5</v>
      </c>
      <c r="I1" t="s">
        <v>95</v>
      </c>
      <c r="J1" s="11">
        <v>3.6</v>
      </c>
      <c r="N1" t="s">
        <v>108</v>
      </c>
      <c r="O1">
        <v>4.2</v>
      </c>
      <c r="P1">
        <v>0.13</v>
      </c>
      <c r="S1" t="s">
        <v>111</v>
      </c>
      <c r="U1" t="s">
        <v>115</v>
      </c>
      <c r="V1">
        <v>29.85</v>
      </c>
    </row>
    <row r="2" spans="1:24" x14ac:dyDescent="0.35">
      <c r="A2">
        <f>SUM(A1:G1)</f>
        <v>44.7</v>
      </c>
      <c r="J2">
        <f>1.05*J1</f>
        <v>3.7800000000000002</v>
      </c>
      <c r="O2">
        <f>1.158*(O1+P1)</f>
        <v>5.0141399999999994</v>
      </c>
      <c r="S2">
        <v>210.5</v>
      </c>
      <c r="V2">
        <f>4.9+2.45</f>
        <v>7.3500000000000005</v>
      </c>
    </row>
    <row r="3" spans="1:24" x14ac:dyDescent="0.35">
      <c r="A3">
        <f>A2*0.6</f>
        <v>26.82</v>
      </c>
      <c r="S3">
        <f>1.2*S2</f>
        <v>252.6</v>
      </c>
      <c r="V3">
        <f>V1+V2</f>
        <v>37.200000000000003</v>
      </c>
    </row>
    <row r="4" spans="1:24" x14ac:dyDescent="0.35">
      <c r="A4">
        <v>18.27</v>
      </c>
      <c r="B4">
        <f>A3+A4</f>
        <v>45.09</v>
      </c>
      <c r="I4" t="s">
        <v>96</v>
      </c>
      <c r="J4">
        <v>4.6100000000000003</v>
      </c>
      <c r="N4" t="s">
        <v>97</v>
      </c>
      <c r="O4">
        <v>13.7</v>
      </c>
      <c r="V4">
        <f>1.05*V3</f>
        <v>39.06</v>
      </c>
    </row>
    <row r="5" spans="1:24" x14ac:dyDescent="0.35">
      <c r="B5">
        <f>1.1*B4</f>
        <v>49.599000000000011</v>
      </c>
      <c r="J5">
        <f>1.1*J4</f>
        <v>5.0710000000000006</v>
      </c>
      <c r="O5">
        <f>0.15*0.2*O4</f>
        <v>0.41099999999999998</v>
      </c>
    </row>
    <row r="6" spans="1:24" x14ac:dyDescent="0.35">
      <c r="B6">
        <f>0.75*49.7</f>
        <v>37.275000000000006</v>
      </c>
      <c r="I6" t="s">
        <v>97</v>
      </c>
      <c r="J6">
        <v>12.2</v>
      </c>
      <c r="O6">
        <f>1.2*O5</f>
        <v>0.49319999999999997</v>
      </c>
      <c r="U6" t="s">
        <v>116</v>
      </c>
      <c r="V6">
        <f>3*1.03</f>
        <v>3.09</v>
      </c>
      <c r="W6">
        <v>1.82</v>
      </c>
      <c r="X6">
        <v>1.63</v>
      </c>
    </row>
    <row r="7" spans="1:24" x14ac:dyDescent="0.35">
      <c r="J7">
        <f>0.15*0.2*J6</f>
        <v>0.36599999999999999</v>
      </c>
      <c r="N7" t="s">
        <v>98</v>
      </c>
      <c r="O7">
        <v>18.2</v>
      </c>
      <c r="P7">
        <v>3.1</v>
      </c>
      <c r="V7">
        <f>(V6+W6+X6)+2.1</f>
        <v>8.64</v>
      </c>
    </row>
    <row r="8" spans="1:24" x14ac:dyDescent="0.35">
      <c r="A8" t="s">
        <v>89</v>
      </c>
      <c r="B8">
        <v>0.91</v>
      </c>
      <c r="J8">
        <f>1.2*J7</f>
        <v>0.43919999999999998</v>
      </c>
      <c r="O8">
        <f>0.2*0.15*(O7+P7)</f>
        <v>0.63900000000000001</v>
      </c>
      <c r="V8">
        <f>1.1*V7</f>
        <v>9.5040000000000013</v>
      </c>
    </row>
    <row r="9" spans="1:24" x14ac:dyDescent="0.35">
      <c r="B9">
        <f>1.5*B8</f>
        <v>1.365</v>
      </c>
      <c r="I9" t="s">
        <v>98</v>
      </c>
      <c r="J9">
        <v>18</v>
      </c>
      <c r="O9">
        <f>1.2*O8</f>
        <v>0.76680000000000004</v>
      </c>
      <c r="U9" t="s">
        <v>117</v>
      </c>
      <c r="V9">
        <v>3.9</v>
      </c>
      <c r="W9">
        <v>3.7</v>
      </c>
    </row>
    <row r="10" spans="1:24" x14ac:dyDescent="0.35">
      <c r="A10" t="s">
        <v>90</v>
      </c>
      <c r="B10">
        <v>4.76</v>
      </c>
      <c r="J10">
        <f>0.2*0.15*J9</f>
        <v>0.54</v>
      </c>
      <c r="O10">
        <f>O2+O6+O9</f>
        <v>6.2741399999999992</v>
      </c>
      <c r="V10">
        <f>V9+W9</f>
        <v>7.6</v>
      </c>
    </row>
    <row r="11" spans="1:24" x14ac:dyDescent="0.35">
      <c r="B11">
        <f>1.15*B10</f>
        <v>5.4739999999999993</v>
      </c>
      <c r="J11">
        <f>1.2*J10</f>
        <v>0.64800000000000002</v>
      </c>
      <c r="V11">
        <f>V10*1.1</f>
        <v>8.36</v>
      </c>
    </row>
    <row r="12" spans="1:24" x14ac:dyDescent="0.35">
      <c r="J12">
        <f>J5+J8+J11</f>
        <v>6.1581999999999999</v>
      </c>
      <c r="N12" t="s">
        <v>109</v>
      </c>
      <c r="O12">
        <v>308.10000000000002</v>
      </c>
    </row>
    <row r="13" spans="1:24" x14ac:dyDescent="0.35">
      <c r="A13" t="s">
        <v>91</v>
      </c>
      <c r="B13">
        <v>1.26</v>
      </c>
      <c r="O13">
        <f>1.2*O12</f>
        <v>369.72</v>
      </c>
      <c r="U13" t="s">
        <v>121</v>
      </c>
      <c r="V13">
        <v>13</v>
      </c>
      <c r="W13">
        <v>14</v>
      </c>
    </row>
    <row r="14" spans="1:24" x14ac:dyDescent="0.35">
      <c r="B14">
        <f>1.15*B13</f>
        <v>1.4489999999999998</v>
      </c>
      <c r="I14" t="s">
        <v>99</v>
      </c>
      <c r="J14">
        <v>1.2</v>
      </c>
    </row>
    <row r="15" spans="1:24" x14ac:dyDescent="0.35">
      <c r="J15">
        <f>(1.2+L15+0.13)*1.15</f>
        <v>1.909</v>
      </c>
      <c r="K15">
        <v>0.122</v>
      </c>
      <c r="L15">
        <v>0.33</v>
      </c>
      <c r="N15" t="s">
        <v>94</v>
      </c>
      <c r="O15">
        <v>77.900000000000006</v>
      </c>
      <c r="U15" t="s">
        <v>122</v>
      </c>
      <c r="V15">
        <v>13</v>
      </c>
      <c r="W15">
        <v>11</v>
      </c>
    </row>
    <row r="16" spans="1:24" x14ac:dyDescent="0.35">
      <c r="A16" t="s">
        <v>92</v>
      </c>
      <c r="B16">
        <v>5.0999999999999996</v>
      </c>
      <c r="J16">
        <f>1.3*J15</f>
        <v>2.4817</v>
      </c>
      <c r="O16">
        <f>1.1*O15</f>
        <v>85.690000000000012</v>
      </c>
      <c r="P16">
        <f>1.05*O16</f>
        <v>89.97450000000002</v>
      </c>
    </row>
    <row r="17" spans="1:23" x14ac:dyDescent="0.35">
      <c r="B17">
        <f>1.2*B16</f>
        <v>6.1199999999999992</v>
      </c>
      <c r="U17" t="s">
        <v>96</v>
      </c>
      <c r="V17">
        <v>18</v>
      </c>
      <c r="W17">
        <v>12</v>
      </c>
    </row>
    <row r="18" spans="1:23" x14ac:dyDescent="0.35">
      <c r="I18" t="s">
        <v>101</v>
      </c>
      <c r="J18">
        <v>13.75</v>
      </c>
      <c r="N18" t="s">
        <v>104</v>
      </c>
      <c r="O18">
        <v>22.72</v>
      </c>
    </row>
    <row r="19" spans="1:23" x14ac:dyDescent="0.35">
      <c r="A19" t="s">
        <v>94</v>
      </c>
      <c r="B19">
        <v>113.3</v>
      </c>
      <c r="J19">
        <f>1.1*J18</f>
        <v>15.125000000000002</v>
      </c>
      <c r="O19">
        <f>O18*2.75</f>
        <v>62.48</v>
      </c>
    </row>
    <row r="20" spans="1:23" x14ac:dyDescent="0.35">
      <c r="B20">
        <f>B19*1.1</f>
        <v>124.63000000000001</v>
      </c>
    </row>
    <row r="21" spans="1:23" x14ac:dyDescent="0.35">
      <c r="B21">
        <f>B20*0.07</f>
        <v>8.7241000000000017</v>
      </c>
      <c r="I21" t="s">
        <v>102</v>
      </c>
      <c r="J21">
        <v>420.91</v>
      </c>
      <c r="N21" t="s">
        <v>105</v>
      </c>
      <c r="O21">
        <v>106.5</v>
      </c>
    </row>
    <row r="22" spans="1:23" x14ac:dyDescent="0.35">
      <c r="J22">
        <f>J21-8.14</f>
        <v>412.77000000000004</v>
      </c>
    </row>
    <row r="23" spans="1:23" x14ac:dyDescent="0.35">
      <c r="A23" t="s">
        <v>93</v>
      </c>
      <c r="B23">
        <v>44.7</v>
      </c>
      <c r="J23">
        <f>J22*1</f>
        <v>412.77000000000004</v>
      </c>
      <c r="N23" t="s">
        <v>110</v>
      </c>
      <c r="O23">
        <v>48.72</v>
      </c>
      <c r="P23">
        <v>0.113</v>
      </c>
    </row>
    <row r="24" spans="1:23" x14ac:dyDescent="0.35">
      <c r="B24">
        <f>B23*1</f>
        <v>44.7</v>
      </c>
      <c r="O24">
        <v>5.5</v>
      </c>
    </row>
    <row r="25" spans="1:23" x14ac:dyDescent="0.35">
      <c r="I25" t="s">
        <v>103</v>
      </c>
      <c r="J25">
        <v>78.459999999999994</v>
      </c>
      <c r="O25">
        <f>1.1*O24</f>
        <v>6.0500000000000007</v>
      </c>
    </row>
    <row r="26" spans="1:23" x14ac:dyDescent="0.35">
      <c r="J26">
        <f>1.15*J25</f>
        <v>90.228999999999985</v>
      </c>
    </row>
    <row r="28" spans="1:23" x14ac:dyDescent="0.35">
      <c r="I28" t="s">
        <v>104</v>
      </c>
      <c r="J28">
        <f>9+7.4+10</f>
        <v>26.4</v>
      </c>
    </row>
    <row r="29" spans="1:23" x14ac:dyDescent="0.35">
      <c r="J29">
        <f>2.7*J28</f>
        <v>71.28</v>
      </c>
    </row>
    <row r="31" spans="1:23" x14ac:dyDescent="0.35">
      <c r="I31" t="s">
        <v>105</v>
      </c>
      <c r="J31">
        <v>73.7</v>
      </c>
    </row>
    <row r="32" spans="1:23" x14ac:dyDescent="0.35">
      <c r="J32">
        <f>1.1*J31</f>
        <v>81.070000000000007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C15"/>
  <sheetViews>
    <sheetView workbookViewId="0">
      <selection activeCell="C18" sqref="C18"/>
    </sheetView>
  </sheetViews>
  <sheetFormatPr defaultRowHeight="14.5" x14ac:dyDescent="0.35"/>
  <cols>
    <col min="3" max="3" width="10.08984375" bestFit="1" customWidth="1"/>
  </cols>
  <sheetData>
    <row r="8" spans="1:3" x14ac:dyDescent="0.35">
      <c r="A8" s="1" t="s">
        <v>0</v>
      </c>
      <c r="B8" s="1" t="s">
        <v>1</v>
      </c>
      <c r="C8" s="1" t="s">
        <v>2</v>
      </c>
    </row>
    <row r="9" spans="1:3" x14ac:dyDescent="0.35">
      <c r="A9" s="1">
        <v>6</v>
      </c>
      <c r="B9" s="1">
        <v>1700</v>
      </c>
      <c r="C9" s="2">
        <f>B9/(3*PI()*(A9/100)^2)</f>
        <v>50104.333936337418</v>
      </c>
    </row>
    <row r="10" spans="1:3" x14ac:dyDescent="0.35">
      <c r="A10" s="1">
        <v>8</v>
      </c>
      <c r="B10" s="1">
        <v>3400</v>
      </c>
      <c r="C10" s="2">
        <f t="shared" ref="C10:C14" si="0">B10/(3*PI()*(A10/100)^2)</f>
        <v>56367.375678379598</v>
      </c>
    </row>
    <row r="11" spans="1:3" x14ac:dyDescent="0.35">
      <c r="A11" s="1">
        <v>10</v>
      </c>
      <c r="B11" s="1">
        <v>5600</v>
      </c>
      <c r="C11" s="2">
        <f t="shared" si="0"/>
        <v>59417.845420974249</v>
      </c>
    </row>
    <row r="12" spans="1:3" x14ac:dyDescent="0.35">
      <c r="A12" s="1">
        <v>12</v>
      </c>
      <c r="B12" s="1">
        <v>7100</v>
      </c>
      <c r="C12" s="2">
        <f t="shared" si="0"/>
        <v>52314.819257058189</v>
      </c>
    </row>
    <row r="13" spans="1:3" x14ac:dyDescent="0.35">
      <c r="A13" s="1">
        <v>14</v>
      </c>
      <c r="B13" s="1">
        <v>9800</v>
      </c>
      <c r="C13" s="2">
        <f t="shared" si="0"/>
        <v>53051.647697298446</v>
      </c>
    </row>
    <row r="14" spans="1:3" x14ac:dyDescent="0.35">
      <c r="A14" s="1">
        <v>16</v>
      </c>
      <c r="B14" s="1">
        <v>12800</v>
      </c>
      <c r="C14" s="2">
        <f t="shared" si="0"/>
        <v>53051.647697298446</v>
      </c>
    </row>
    <row r="15" spans="1:3" x14ac:dyDescent="0.35">
      <c r="A15" s="1">
        <v>25</v>
      </c>
      <c r="B15" s="1">
        <v>32000</v>
      </c>
      <c r="C15" s="2">
        <f>B15/(3*PI()*(A15/100)^2)</f>
        <v>54324.887242033612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Sheet3</vt:lpstr>
      <vt:lpstr>Sheet1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SirEmech</dc:creator>
  <cp:lastModifiedBy>BERNARD</cp:lastModifiedBy>
  <cp:lastPrinted>2023-07-05T07:05:33Z</cp:lastPrinted>
  <dcterms:created xsi:type="dcterms:W3CDTF">2023-07-02T12:23:52Z</dcterms:created>
  <dcterms:modified xsi:type="dcterms:W3CDTF">2025-05-26T10:28:35Z</dcterms:modified>
</cp:coreProperties>
</file>