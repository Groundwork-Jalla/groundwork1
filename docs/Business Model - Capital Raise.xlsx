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se of Funds - Prior" sheetId="1" r:id="rId5"/>
    <sheet state="visible" name="Revenue Model" sheetId="2" r:id="rId6"/>
    <sheet state="visible" name="2027 Rollout Plan (Project 1000" sheetId="3" r:id="rId7"/>
    <sheet state="visible" name="2027 Rollout Plan(Project 2000)" sheetId="4" r:id="rId8"/>
    <sheet state="visible" name="Budget Evidence" sheetId="5" r:id="rId9"/>
    <sheet state="visible" name="Use Of Funds" sheetId="6" r:id="rId10"/>
    <sheet state="hidden" name="Revenue Timing" sheetId="7" r:id="rId11"/>
    <sheet state="hidden" name="Market Size" sheetId="8" r:id="rId12"/>
    <sheet state="visible" name="Cap Table - Working" sheetId="9" r:id="rId13"/>
    <sheet state="visible" name="Investor Register" sheetId="10" r:id="rId14"/>
  </sheets>
  <definedNames>
    <definedName hidden="1" localSheetId="4" name="_xlnm._FilterDatabase">'Budget Evidence'!$A$4:$K$31</definedName>
    <definedName hidden="1" localSheetId="9" name="_xlnm._FilterDatabase">'Investor Register'!$A$4:$L$14</definedName>
  </definedNames>
  <calcPr/>
</workbook>
</file>

<file path=xl/sharedStrings.xml><?xml version="1.0" encoding="utf-8"?>
<sst xmlns="http://schemas.openxmlformats.org/spreadsheetml/2006/main" count="3362" uniqueCount="971">
  <si>
    <t>Verification</t>
  </si>
  <si>
    <t>Use</t>
  </si>
  <si>
    <t xml:space="preserve">Jalla Cost </t>
  </si>
  <si>
    <t>Amount</t>
  </si>
  <si>
    <t>What it pays for</t>
  </si>
  <si>
    <t>Average Project</t>
  </si>
  <si>
    <t>Project-owner acquisition</t>
  </si>
  <si>
    <t>Stages</t>
  </si>
  <si>
    <t>Stage Cost Average</t>
  </si>
  <si>
    <t>$45,000 paid campaigns; $25,000 distribution partnerships and referral payments; $10,000 campaign content and landing pages</t>
  </si>
  <si>
    <t>Growth, sales and onboarding</t>
  </si>
  <si>
    <t>Three months: growth lead at $5,000/month; four qualification/onboarding specialists at $2,000/month each; $6,000 performance incentives</t>
  </si>
  <si>
    <t>Product and engineering</t>
  </si>
  <si>
    <t>Additional engineering and QA capacity for opportunity posting, credits, bidding, commission tracking and verification purchases</t>
  </si>
  <si>
    <t>Existing team and operations</t>
  </si>
  <si>
    <t>Three months of existing team compensation and operating support, including founder compensation if required</t>
  </si>
  <si>
    <t>Verification delivery capacity</t>
  </si>
  <si>
    <t>Verifier onboarding, inspections, travel, report review and quality control</t>
  </si>
  <si>
    <t>Infrastructure and administration</t>
  </si>
  <si>
    <t>$6,000 hosting, CRM and communication tools; $9,000 contracts, accounting and essential setup</t>
  </si>
  <si>
    <t>Protected 60-day operating buffer</t>
  </si>
  <si>
    <t>Continued operations during April–May, with spending capped at $37,500/month</t>
  </si>
  <si>
    <t>Total</t>
  </si>
  <si>
    <t>90-day execution plan plus 60-day buffer</t>
  </si>
  <si>
    <t>Period</t>
  </si>
  <si>
    <t>Spending limit</t>
  </si>
  <si>
    <t>Required outcome</t>
  </si>
  <si>
    <t>Verification Per Stage</t>
  </si>
  <si>
    <t>January</t>
  </si>
  <si>
    <t>Acquire 150 qualified projects; begin paid bidding and verification</t>
  </si>
  <si>
    <t>February</t>
  </si>
  <si>
    <t>Convert hiring opportunities into awards and commissions; deliver verifications</t>
  </si>
  <si>
    <t>March</t>
  </si>
  <si>
    <t>Establish repeat verification purchases, collections and delivery margins</t>
  </si>
  <si>
    <t>April–May reserve</t>
  </si>
  <si>
    <t>Maintain operations while project revenue continues to arrive</t>
  </si>
  <si>
    <t>Verification Rev</t>
  </si>
  <si>
    <t>Contractor Bidding</t>
  </si>
  <si>
    <t>Capital Needed</t>
  </si>
  <si>
    <t>Cost per Credit</t>
  </si>
  <si>
    <t>500 XAF</t>
  </si>
  <si>
    <t>Projects Onboarded</t>
  </si>
  <si>
    <t>Minimum Credit Needed</t>
  </si>
  <si>
    <t xml:space="preserve">Revenue </t>
  </si>
  <si>
    <t>Minimim Bids/Project</t>
  </si>
  <si>
    <t>Bid Rev/Project</t>
  </si>
  <si>
    <t xml:space="preserve">Initial Raise </t>
  </si>
  <si>
    <t>Project Win Commision</t>
  </si>
  <si>
    <t>Project Owner/ Contractor Fee</t>
  </si>
  <si>
    <t>Revenue</t>
  </si>
  <si>
    <t>Jalla — 2027 market opportunity and funded rollout</t>
  </si>
  <si>
    <t>Jalla Cost %</t>
  </si>
  <si>
    <t>Current plan: $950,000 funds January–December 2027; launch Cameroon, then Ghana and Nigeria. Original source tabs preserved.</t>
  </si>
  <si>
    <t>Total Rev/Jalla Project</t>
  </si>
  <si>
    <t/>
  </si>
  <si>
    <t>Target # Of Jalla Originated Projects</t>
  </si>
  <si>
    <t>Jalla — revised worldwide SAM and 2,000-project rollout</t>
  </si>
  <si>
    <t>Investor summary</t>
  </si>
  <si>
    <t>Revenue Target</t>
  </si>
  <si>
    <t>Market Size</t>
  </si>
  <si>
    <t>TAM(Total Addressable Market)</t>
  </si>
  <si>
    <t>Plan revised 22 October 2026: $950,000 funds January–December 2027. Worldwide migrants from Cameroon, Ghana and Nigeria; every earlier tab preserved.</t>
  </si>
  <si>
    <t>USD / projects</t>
  </si>
  <si>
    <t>Interpretation</t>
  </si>
  <si>
    <t>Jalla — evidence and editable budget drivers</t>
  </si>
  <si>
    <t>SSA TAM — full uptake</t>
  </si>
  <si>
    <t>SSA Migrants</t>
  </si>
  <si>
    <t>Assumptions</t>
  </si>
  <si>
    <t>Eligible Migrant per Household</t>
  </si>
  <si>
    <t>Assumed</t>
  </si>
  <si>
    <t>Project Owners are going to request verification at Every Stage</t>
  </si>
  <si>
    <t>Edit B for a planning revision. To use evidence: enter C, set D to Verified, add source G, scope H and review date J. E updates only when all fields are complete.</t>
  </si>
  <si>
    <t xml:space="preserve">Annual Projects Start Rate </t>
  </si>
  <si>
    <t>Every Project will get Minimum Bids</t>
  </si>
  <si>
    <t>Revenue Per Project is Based on Jalla Originated clients. Done that way for simplicity of the model</t>
  </si>
  <si>
    <t>Current SAM(Total Serviceable Market)</t>
  </si>
  <si>
    <t>Driver</t>
  </si>
  <si>
    <t>Planning value</t>
  </si>
  <si>
    <t>Verified value</t>
  </si>
  <si>
    <t>Evidence status</t>
  </si>
  <si>
    <t>Active value</t>
  </si>
  <si>
    <t>Unit</t>
  </si>
  <si>
    <t>Evidence / source URL</t>
  </si>
  <si>
    <t>Country / period / sample</t>
  </si>
  <si>
    <t>Suggested owner</t>
  </si>
  <si>
    <t>Reviewed date</t>
  </si>
  <si>
    <t>Next verification action</t>
  </si>
  <si>
    <t>Raise total</t>
  </si>
  <si>
    <t>Full proposed fees from one year's qualifying new starts, at $150k reference budget.</t>
  </si>
  <si>
    <t>SSA comparison — adjusted uptake</t>
  </si>
  <si>
    <t>The only revenue driver will be Verification if Contractor Brings client and vice versa</t>
  </si>
  <si>
    <t>Average project at $150,000</t>
  </si>
  <si>
    <t>Average project lifecycle is 7 months</t>
  </si>
  <si>
    <t>Founder plan</t>
  </si>
  <si>
    <t>Every project produces Win Commission</t>
  </si>
  <si>
    <t>12 Months SOM(Obtainable Market)</t>
  </si>
  <si>
    <t>Sensitivity only; headline TAM uses full uptake.</t>
  </si>
  <si>
    <t>Projects</t>
  </si>
  <si>
    <t>Initial Cameroon SAM — full uptake</t>
  </si>
  <si>
    <t>3 Months SOM</t>
  </si>
  <si>
    <t>USA, France and Canada corridors quantified.</t>
  </si>
  <si>
    <t xml:space="preserve"> </t>
  </si>
  <si>
    <t>Planned three-country SAM — full uptake</t>
  </si>
  <si>
    <t>USD</t>
  </si>
  <si>
    <t>Founder</t>
  </si>
  <si>
    <t>Confirm fundraising schedule</t>
  </si>
  <si>
    <t>First tranche</t>
  </si>
  <si>
    <t>Adds USA-funded Ghana/Nigeria; partial corridor coverage, conditional on operational launch.</t>
  </si>
  <si>
    <t>March 2027 SOM target</t>
  </si>
  <si>
    <t>Confirm close date</t>
  </si>
  <si>
    <t>150 cumulative qualified projects in Cameroon.</t>
  </si>
  <si>
    <t>December 2027 SOM target</t>
  </si>
  <si>
    <t>First phase months</t>
  </si>
  <si>
    <t>1,000 cumulative qualified projects: Cameroon 150 + Ghana/Nigeria 850.</t>
  </si>
  <si>
    <t>Year-one cohort lifetime fees — adjusted</t>
  </si>
  <si>
    <t>All worldwide Cameroon-origin international migrants, including intra-African destinations.</t>
  </si>
  <si>
    <t>Conditional on activation and assumed uptake; not year-one earned revenue or cash.</t>
  </si>
  <si>
    <t>Year-one cohort lifetime fees — full uptake</t>
  </si>
  <si>
    <t>months</t>
  </si>
  <si>
    <t>Office Lead</t>
  </si>
  <si>
    <t>Jan–Mar 2027</t>
  </si>
  <si>
    <t>Expansion months</t>
  </si>
  <si>
    <t>Current proposed model's full-uptake case, not a guarantee.</t>
  </si>
  <si>
    <t>Apr–Dec 2027</t>
  </si>
  <si>
    <t>First phase projects</t>
  </si>
  <si>
    <t>Shared assumptions and monetization</t>
  </si>
  <si>
    <t>Worldwide migrants originating in Cameroon, Ghana and Nigeria; conditional on operational rollout.</t>
  </si>
  <si>
    <t>Value</t>
  </si>
  <si>
    <t>Evidence / limitation</t>
  </si>
  <si>
    <t>Formula: migrant population ÷ migrants per household × 1% annual starts × modeled lifetime fees per project. No additional eligibility or coverage discount.</t>
  </si>
  <si>
    <t>Target</t>
  </si>
  <si>
    <t>projects</t>
  </si>
  <si>
    <t>Growth lead</t>
  </si>
  <si>
    <t>Deduplicated qualified and onboarded project records</t>
  </si>
  <si>
    <t>Annual projects — 1,000 case</t>
  </si>
  <si>
    <t>Build channel and capacity forecast</t>
  </si>
  <si>
    <t>Annual projects — 2,000 case</t>
  </si>
  <si>
    <t>SSA-origin international migrants</t>
  </si>
  <si>
    <t>Founder compensation / month</t>
  </si>
  <si>
    <t>Founder confirmed budget</t>
  </si>
  <si>
    <t>2,000 cumulative qualified projects: Cameroon 150 + Ghana/Nigeria 1,850.</t>
  </si>
  <si>
    <t>USD/month</t>
  </si>
  <si>
    <t>Document compensation approval; currently unpaid</t>
  </si>
  <si>
    <t>Current team compensation / month</t>
  </si>
  <si>
    <t>UN DESA 2024 rounded 31m; includes intra-African migrants.</t>
  </si>
  <si>
    <t>Assumed migrants per funding household</t>
  </si>
  <si>
    <t>Founder-accepted planning assumption; not measured household size.</t>
  </si>
  <si>
    <t>Annual qualifying project starts / household</t>
  </si>
  <si>
    <t>Reconcile named roster, contracts, fees and current payroll</t>
  </si>
  <si>
    <t>Local travel / month</t>
  </si>
  <si>
    <t>Founder-accepted planning assumption; not observed participation.</t>
  </si>
  <si>
    <t>Planning</t>
  </si>
  <si>
    <t>Average project lifecycle, months</t>
  </si>
  <si>
    <t>Operations lead</t>
  </si>
  <si>
    <t>Planning assumption; fees can extend beyond December 2027.</t>
  </si>
  <si>
    <t>Transport receipts; exclude routine inspection travel</t>
  </si>
  <si>
    <t>Verifier readiness / month</t>
  </si>
  <si>
    <t>SSA reference project budget</t>
  </si>
  <si>
    <t>Vetting/training quotes; exclude launch setup</t>
  </si>
  <si>
    <t>Project coordination / month</t>
  </si>
  <si>
    <t>Call/data/translation receipts; exclude software subscriptions</t>
  </si>
  <si>
    <t>Quality and issue resolution / month</t>
  </si>
  <si>
    <t>$150k assumption applied consistently to headline TAM/SAM; not a measured regional average.</t>
  </si>
  <si>
    <t>Review workload and exceptional visit costs; exclude routine inspections</t>
  </si>
  <si>
    <t>Three-country reference project budget</t>
  </si>
  <si>
    <t>Supplies / month</t>
  </si>
  <si>
    <t>Receipts and project purpose</t>
  </si>
  <si>
    <t>Operations contingency / month</t>
  </si>
  <si>
    <t>Same $150k assumption; country differences and local prices unvalidated.</t>
  </si>
  <si>
    <t>SOM verification stage-value uptake</t>
  </si>
  <si>
    <t>Track use separately from annual reserve</t>
  </si>
  <si>
    <t>Acquisition — first phase</t>
  </si>
  <si>
    <t>Management assumption for forecast only; TAM/SAM use full uptake.</t>
  </si>
  <si>
    <t>12-month cumulative qualified-project target</t>
  </si>
  <si>
    <t>SOM bid-monetized project share</t>
  </si>
  <si>
    <t>Founder target revised from 1,000; acquisition/delivery forecast must substantiate it.</t>
  </si>
  <si>
    <t>Channel budgets and actual cost per onboarded owner project</t>
  </si>
  <si>
    <t>Acquisition — expansion, 1,000</t>
  </si>
  <si>
    <t>SOM commission-eligible project share</t>
  </si>
  <si>
    <t>Verification fee rate</t>
  </si>
  <si>
    <t>Country/corridor/channel forecast</t>
  </si>
  <si>
    <t>Acquisition — expansion, 2,000</t>
  </si>
  <si>
    <t>Additional growth personnel — first phase</t>
  </si>
  <si>
    <t>Proposed price, not evidence of realized uptake.</t>
  </si>
  <si>
    <t>Named hires × fully loaded cost × months; exclude current team</t>
  </si>
  <si>
    <t>Full bid revenue / eligible project</t>
  </si>
  <si>
    <t>Additional growth personnel — expansion, 1,000</t>
  </si>
  <si>
    <t>Named hires × fully loaded cost × months</t>
  </si>
  <si>
    <t>Additional growth personnel — expansion, 2,000</t>
  </si>
  <si>
    <t>Ghana/Nigeria local credit pricing not yet validated.</t>
  </si>
  <si>
    <t>Additional engineering — first phase</t>
  </si>
  <si>
    <t>Contractor professional fee / project budget</t>
  </si>
  <si>
    <t>Technical lead</t>
  </si>
  <si>
    <t>Scope and quotes; exclude current payroll</t>
  </si>
  <si>
    <t>Planning assumption.</t>
  </si>
  <si>
    <t>Additional engineering — expansion</t>
  </si>
  <si>
    <t>Jalla commission / contractor professional fee</t>
  </si>
  <si>
    <t>Delivery milestones and fully loaded incremental hires</t>
  </si>
  <si>
    <t>Infrastructure/admin — first phase</t>
  </si>
  <si>
    <t>Itemized hosting/software/legal/accounting; remove overlaps</t>
  </si>
  <si>
    <t>Infrastructure/admin — expansion</t>
  </si>
  <si>
    <t>Commission is on contractor professional fees, not the whole project budget.</t>
  </si>
  <si>
    <t>SSA adjusted lifetime fees / project</t>
  </si>
  <si>
    <t>Jalla — 2027 use of funds: working budget</t>
  </si>
  <si>
    <t>Subscriptions and professional-service quotes</t>
  </si>
  <si>
    <t>Ghana/Nigeria launches — expansion</t>
  </si>
  <si>
    <t>Updated 22 October 2026. USD. Targets and unverified allocations are planning inputs; acquisition capacity and monthly cash flow remain to be demonstrated.</t>
  </si>
  <si>
    <t>Country setup cost schedules; $25k each remains allowance</t>
  </si>
  <si>
    <t>All-in routine verification cost</t>
  </si>
  <si>
    <t>Controls and evidence: Budget Evidence. Blue input values there are editable; formula outputs below recalculate.</t>
  </si>
  <si>
    <t>Founder-researched cost</t>
  </si>
  <si>
    <t>Same $150k assumption for all countries; local budgets and credit pricing unvalidated.</t>
  </si>
  <si>
    <t>USD/inspection</t>
  </si>
  <si>
    <t>Attach research/quotes; verify country, geography, taxes, reporting and date</t>
  </si>
  <si>
    <t>Evidence workflow</t>
  </si>
  <si>
    <t>Use / metric</t>
  </si>
  <si>
    <t>Sensitivity; same reference budget as TAM, with lower service uptake.</t>
  </si>
  <si>
    <t>Jan–Mar: 1,000 case</t>
  </si>
  <si>
    <t>Apr–Dec: 1,000 case</t>
  </si>
  <si>
    <t>Verified means supported by attached evidence, defined scope and review date. Founder-confirmed budgets are approved planning inputs, not historical spending or market validation.</t>
  </si>
  <si>
    <t>Annual: 1,000 case</t>
  </si>
  <si>
    <t>Three-country adjusted lifetime fees / project</t>
  </si>
  <si>
    <t>Jan–Mar: 2,000 case</t>
  </si>
  <si>
    <t>Updating these drivers recalculates Use Of Funds. Existing market/revenue tabs keep their own inputs; review them separately when monetization or demographic evidence changes.</t>
  </si>
  <si>
    <t>Apr–Dec: 2,000 case</t>
  </si>
  <si>
    <t>Annual: 2,000 case</t>
  </si>
  <si>
    <t>Scope / interpretation</t>
  </si>
  <si>
    <t>Priority gap</t>
  </si>
  <si>
    <t>Evidence required</t>
  </si>
  <si>
    <t>Current status</t>
  </si>
  <si>
    <t>Acquisition funnel and CAC</t>
  </si>
  <si>
    <t>Weekly spend, unique inquiries, qualified projects, onboarded projects, activated projects and paying owners by channel/country/corridor</t>
  </si>
  <si>
    <t>Open</t>
  </si>
  <si>
    <t>Activation definition and conversion</t>
  </si>
  <si>
    <t>Agree milestone, deduplicate owners/projects, track qualification → onboarding → activation → paid service</t>
  </si>
  <si>
    <t>$1,938 at current assumptions; conditional, not actual LTV.</t>
  </si>
  <si>
    <t>Product / Growth</t>
  </si>
  <si>
    <t>Three-country full-uptake lifetime fees / project</t>
  </si>
  <si>
    <t>Acquisition corridor selection</t>
  </si>
  <si>
    <t>Owner pipeline and conversion data; worldwide SAM does not imply equal acquisition economics across locations</t>
  </si>
  <si>
    <t>Staffing capacity</t>
  </si>
  <si>
    <t>Named roster; handling time; active project caseload; inspections/day; response time and workload thresholds</t>
  </si>
  <si>
    <t>Country launch readiness</t>
  </si>
  <si>
    <t>Verifier coverage, payment rails, support language, contracts and launch dates for Ghana/Nigeria</t>
  </si>
  <si>
    <t>Operations / Technical</t>
  </si>
  <si>
    <t>Monthly cash and second close</t>
  </si>
  <si>
    <t>Monthly hiring, campaign spend, project arrivals, collection/delivery timing; second-close delay stress test</t>
  </si>
  <si>
    <t>Founder / Office Lead</t>
  </si>
  <si>
    <t>$2,667.50 at current proposed prices and full uptake.</t>
  </si>
  <si>
    <t>Service economics and uptake</t>
  </si>
  <si>
    <t>Country-stage budgets, actual fee charged, count/value uptake, refunds, processing fees, verified $86 cost applicability</t>
  </si>
  <si>
    <t>Market inputs and population</t>
  </si>
  <si>
    <t>Original demographic tables/year; household divisor and annual starts remain assumptions until validated</t>
  </si>
  <si>
    <t>Additional growth / engineering</t>
  </si>
  <si>
    <t>Check contracts, hiring costs, employer costs and overlap with existing compensation</t>
  </si>
  <si>
    <t>Campaigns, owner referrals, partnerships and content; channel budgets unvalidated</t>
  </si>
  <si>
    <t>Annual target feasibility</t>
  </si>
  <si>
    <t>Annual SSA qualifying new project starts</t>
  </si>
  <si>
    <t>Bottom-up monthly country/channel targets and capacity plan supporting 850 or 1,850 expansion projects</t>
  </si>
  <si>
    <t>Additional growth / sales / onboarding</t>
  </si>
  <si>
    <t>Growth / Operations</t>
  </si>
  <si>
    <t>2028 obligations</t>
  </si>
  <si>
    <t>Carry forward undelivered prepaid inspections, remaining fees and associated delivery costs</t>
  </si>
  <si>
    <t>SSA TAM — full-uptake lifetime fees</t>
  </si>
  <si>
    <t>Incremental staff only; replace allowances with named hires and costs</t>
  </si>
  <si>
    <t>Additional product / engineering</t>
  </si>
  <si>
    <t>Original Revenue Model TAM reference</t>
  </si>
  <si>
    <t xml:space="preserve">Incremental engineering and QA; </t>
  </si>
  <si>
    <t>Founder compensation</t>
  </si>
  <si>
    <t>TAM/SAM use the proposed full-uptake fee of $2,667.50 per project at a $150k reference budget. SOM uses adjusted fees of $1,938 per project. Both price/budget and uptake inputs remain unvalidated.</t>
  </si>
  <si>
    <t>Construction market</t>
  </si>
  <si>
    <t>USA migrants</t>
  </si>
  <si>
    <t>France migrants</t>
  </si>
  <si>
    <t>Canada migrants</t>
  </si>
  <si>
    <t>Counted migrants</t>
  </si>
  <si>
    <t>Annual starts</t>
  </si>
  <si>
    <t>Fees / project</t>
  </si>
  <si>
    <t>Annual-cohort fees</t>
  </si>
  <si>
    <t>Cameroon</t>
  </si>
  <si>
    <t>$5,000/month planned; currently unpaid</t>
  </si>
  <si>
    <t>Current team compensation</t>
  </si>
  <si>
    <t>$5,000/month; obtain roster and contract evidence with planned increments</t>
  </si>
  <si>
    <t>Operations — non-payroll</t>
  </si>
  <si>
    <t>Revenue timing — January 2027 project cohort</t>
  </si>
  <si>
    <t>$3,000/month; six components below; excludes routine verification</t>
  </si>
  <si>
    <t>Infrastructure / administration</t>
  </si>
  <si>
    <t>FORECAST ONLY. Full uptake is unvalidated. Actual transactions belong in the tracker below.</t>
  </si>
  <si>
    <t>Qualified Jalla-sourced projects</t>
  </si>
  <si>
    <t>Ghana</t>
  </si>
  <si>
    <t>Hosting, CRM/software, accounting/legal; itemize and reconcile operations overlap</t>
  </si>
  <si>
    <t>Ghana / Nigeria launches</t>
  </si>
  <si>
    <t>Worldwide migrants</t>
  </si>
  <si>
    <t>One-time country setup and initial recruitment; split/quotes not verified</t>
  </si>
  <si>
    <t>Assumed households</t>
  </si>
  <si>
    <t>Planned deployment</t>
  </si>
  <si>
    <t>Project budget</t>
  </si>
  <si>
    <t>Full fees / project</t>
  </si>
  <si>
    <t>Project lifecycle (months; fixed for this schedule)</t>
  </si>
  <si>
    <t>Population evidence</t>
  </si>
  <si>
    <t>Share of stage value independently verified</t>
  </si>
  <si>
    <t>Nigeria</t>
  </si>
  <si>
    <t>Share of projects receiving the modeled paid bids</t>
  </si>
  <si>
    <t>Excludes routine client-prepaid verification costs</t>
  </si>
  <si>
    <t>Capital raised / planned funding</t>
  </si>
  <si>
    <t>Share of projects generating an eligible commission</t>
  </si>
  <si>
    <t>Three-country scope</t>
  </si>
  <si>
    <t>Winning-bid deduction per awarded project (USD)</t>
  </si>
  <si>
    <t>Commission cash collection delay (whole months, 0–1)</t>
  </si>
  <si>
    <t>Direct delivery cost per inspection (USD)</t>
  </si>
  <si>
    <t>Collection / processing cost (% of revenue)</t>
  </si>
  <si>
    <t>Financing targets; not received cash</t>
  </si>
  <si>
    <t>Reserve movement / annual retained reserve</t>
  </si>
  <si>
    <t>Other direct lifetime delivery costs for cohort (USD)</t>
  </si>
  <si>
    <t>UN DESA 2024 via EUDiF; 409,677</t>
  </si>
  <si>
    <t>Blue cells are editable assumptions. Blank cost inputs mean margins are not yet established.</t>
  </si>
  <si>
    <t>Full-uptake lifetime revenue per project</t>
  </si>
  <si>
    <t>Negative expansion movement draws on first-phase reserve; annual column is retained reserve</t>
  </si>
  <si>
    <t>Allocated including reserve</t>
  </si>
  <si>
    <t>Assumption-adjusted lifetime revenue per project</t>
  </si>
  <si>
    <t>UN DESA 2024 via MPI; rounded 1,055,000</t>
  </si>
  <si>
    <t>Blank Ghana/Nigeria France/Canada cells mean uncounted, not zero migrants. Other corridors are excluded. This partial SAM estimate does not represent the entire diaspora of these countries or a proven lower bound.</t>
  </si>
  <si>
    <t>Initial SAM is Cameroon; planned SAM adds Ghana/Nigeria after service launch. Fundraising alone does not establish operational coverage.</t>
  </si>
  <si>
    <t>Capital reconciliation; reserve counted once</t>
  </si>
  <si>
    <t>UN DESA 2024 via MPI; rounded 2,094,000</t>
  </si>
  <si>
    <t>Capital check — zero</t>
  </si>
  <si>
    <t>Assumption-adjusted cohort lifetime revenue</t>
  </si>
  <si>
    <t>Funding phase</t>
  </si>
  <si>
    <t>Acquisition period</t>
  </si>
  <si>
    <t>Zero means arithmetic reconciles; does not validate costs</t>
  </si>
  <si>
    <t>Capital</t>
  </si>
  <si>
    <t>Added projects</t>
  </si>
  <si>
    <t>Cumulative</t>
  </si>
  <si>
    <t>Markets</t>
  </si>
  <si>
    <t>Adjusted lifetime fees</t>
  </si>
  <si>
    <t>Full-uptake fees</t>
  </si>
  <si>
    <t>Lifetime direct delivery costs (requires all 3 cost inputs)</t>
  </si>
  <si>
    <t>Acquisition targets and budget intensity</t>
  </si>
  <si>
    <t>Qualified AND onboarded projects</t>
  </si>
  <si>
    <t>Tranche 1</t>
  </si>
  <si>
    <t>All destinations; no corridor exclusions</t>
  </si>
  <si>
    <t>Population scope is international migrant stock by country of origin, wherever migrants live. It generally excludes foreign-born descendants and does not count every person identifying as diaspora. No corridor restriction applies.</t>
  </si>
  <si>
    <t>Initial SAM is Cameroon; planned SAM adds Ghana and Nigeria when services are operational. Population coverage is worldwide; no assumed financial-eligibility filter is added.</t>
  </si>
  <si>
    <t>Lifetime gross profit before operating expenses</t>
  </si>
  <si>
    <t>Lifetime gross margin</t>
  </si>
  <si>
    <t>Confirmed owner, scope/budget, active hiring need and completed setup; activation/payment tracked separately</t>
  </si>
  <si>
    <t>Direct acquisition budget / project</t>
  </si>
  <si>
    <t>Tranche 2</t>
  </si>
  <si>
    <t>Illustrative monthly schedule. Same-month verification and bid payment; delayed commission collection.</t>
  </si>
  <si>
    <t>Forecast (USD unless stated)</t>
  </si>
  <si>
    <t>Jan 2027</t>
  </si>
  <si>
    <t>Feb 2027</t>
  </si>
  <si>
    <t>Mar 2027</t>
  </si>
  <si>
    <t>Apr 2027</t>
  </si>
  <si>
    <t>May 2027</t>
  </si>
  <si>
    <t>Jun 2027</t>
  </si>
  <si>
    <t>Jul 2027</t>
  </si>
  <si>
    <t>Budget intensity, not demonstrated CAC</t>
  </si>
  <si>
    <t>Aug 2027</t>
  </si>
  <si>
    <t>Acquisition + additional growth / project</t>
  </si>
  <si>
    <t>Total / end</t>
  </si>
  <si>
    <t>Inspection stages completed per project</t>
  </si>
  <si>
    <t>Ghana + Nigeria</t>
  </si>
  <si>
    <t>Excludes current payroll and engineering; not fully loaded CAC</t>
  </si>
  <si>
    <t>Average projects onboarded / month</t>
  </si>
  <si>
    <t>Full year</t>
  </si>
  <si>
    <t>Jan–Dec 2027</t>
  </si>
  <si>
    <t>Share of modeled bids consumed</t>
  </si>
  <si>
    <t>Share of eligible contractor fees received</t>
  </si>
  <si>
    <t>Three countries</t>
  </si>
  <si>
    <t>The 850 expansion projects are additional Ghana/Nigeria projects. Their country split and launch dates remain unset; no arbitrary split is assumed.</t>
  </si>
  <si>
    <t>Verification revenue earned</t>
  </si>
  <si>
    <t>Required throughput; no capacity evidence yet</t>
  </si>
  <si>
    <t>Cameroon target / annual Cameroon starts</t>
  </si>
  <si>
    <t>Cash carried from first phase</t>
  </si>
  <si>
    <t>Planning ratio; target can include existing projects, unlike new-start denominator.</t>
  </si>
  <si>
    <t>Reserve carried forward, not a new raise</t>
  </si>
  <si>
    <t>Closing cash before revenue</t>
  </si>
  <si>
    <t>Expansion target / annual Ghana+Nigeria starts</t>
  </si>
  <si>
    <t>The 1,850 expansion projects are additional Ghana/Nigeria projects. The country split and launch dates remain unset. These are targets, not demonstrated acquisition capacity.</t>
  </si>
  <si>
    <t>Full-year denominator; not an April–December market-share forecast.</t>
  </si>
  <si>
    <t>Year-one target / annual three-country starts</t>
  </si>
  <si>
    <t>Planning ratio; acquisition can include existing projects, unlike new-start denominator.</t>
  </si>
  <si>
    <t>Phase totals only; not a monthly cash/runway forecast</t>
  </si>
  <si>
    <t>Team compensation subtotal</t>
  </si>
  <si>
    <t>Planning ratio, not observed market share.</t>
  </si>
  <si>
    <t>Included above, do not add again</t>
  </si>
  <si>
    <t>Tranche 1 capital / target project</t>
  </si>
  <si>
    <t>Operations detail — included in row 11</t>
  </si>
  <si>
    <t>Monthly USD</t>
  </si>
  <si>
    <t>Bid-credit revenue earned on consumption</t>
  </si>
  <si>
    <t>Annual USD</t>
  </si>
  <si>
    <t>Boundary</t>
  </si>
  <si>
    <t>Funding intensity, not CAC. Includes operations and reserve.</t>
  </si>
  <si>
    <t>Tranche 2 capital / additional project</t>
  </si>
  <si>
    <t>Funding intensity, not CAC. Lower ratio assumes greater operating leverage.</t>
  </si>
  <si>
    <t>Exclude routine inspection transport</t>
  </si>
  <si>
    <t>Total capital / year-one target project</t>
  </si>
  <si>
    <t>$351 at current target. Funding includes operations; this is not CAC or validated efficiency.</t>
  </si>
  <si>
    <t>Funding intensity, not CAC or proof of acquisition efficiency.</t>
  </si>
  <si>
    <t>$475 total raise per target project. See Use Of Funds for acquisition allowances; capacity and channel performance remain unvalidated.</t>
  </si>
  <si>
    <t>Ongoing vetting/training; initial market setup in launches</t>
  </si>
  <si>
    <t>Use-of-funds treatment</t>
  </si>
  <si>
    <t>Current working allocations are in Use Of Funds, with editable drivers and evidence requirements in Budget Evidence. Prior use-of-funds schedule is archived as Use of Funds - Prior.</t>
  </si>
  <si>
    <t>Team compensation is $10,000/month including founder; operations is separate at $3,000/month. Routine verification is client-prepaid at a founder-researched $86/inspection; no routine inspection allocation from the raise.</t>
  </si>
  <si>
    <t>Begin Cameroon execution after the first close while fundraising continues. Ghana/Nigeria deployment depends on the second close and operational readiness. Do not assume a funding date or revenue-funded runway.</t>
  </si>
  <si>
    <t>January–March launch; April–December expansion. Use Of Funds shows phase funding and reserve carryforward, not monthly cash flow. Revenue Timing remains a historical illustration.</t>
  </si>
  <si>
    <t>Calls/data/translation; subscription software in infrastructure</t>
  </si>
  <si>
    <t>Definitions and investor disclosure</t>
  </si>
  <si>
    <t>Qualified project: confirmed owner, documented scope and budget, and an active hiring requirement. A qualified project is not automatically activated or paying.</t>
  </si>
  <si>
    <t>Activation: track separately from qualification. Cohort fee totals assume the target projects activate and achieve modeled uptake; apply an activation conversion when forecasting financial results.</t>
  </si>
  <si>
    <t>Lifetime fee potential: fees expected over project delivery, including amounts that may fall in 2028. Excludes client construction funds, investment proceeds and future FX/payment products.</t>
  </si>
  <si>
    <t>Exceptional reviews and investigations; routine inspection QA within $86</t>
  </si>
  <si>
    <t>Earned revenue: fees for services delivered / obligations satisfied under agreed terms. Accrued revenue: earned amounts not yet collected. Neither includes unearned lifetime potential.</t>
  </si>
  <si>
    <t>Cash collected: actual fee receipts, which may precede or follow earning. Prepaid unused credits are not automatically earned revenue. Capital raised is financing, not revenue.</t>
  </si>
  <si>
    <t>SOM targets are acquisition objectives, not market-size evidence. Validate qualification→activation, uptake, collections, delivery margins and country readiness during execution.</t>
  </si>
  <si>
    <t>The 2,000-project SOM is a founder execution target, not evidence supplied by the larger SAM. Track qualification→activation, uptake, collections, service margins, sales conversion and delivery capacity.</t>
  </si>
  <si>
    <t>Project/field supplies only</t>
  </si>
  <si>
    <t>Source register</t>
  </si>
  <si>
    <t>Commission earned on eligible contractor receipts</t>
  </si>
  <si>
    <t>Vintage / type</t>
  </si>
  <si>
    <t>Values / use</t>
  </si>
  <si>
    <t>Source URL</t>
  </si>
  <si>
    <t>UN DESA</t>
  </si>
  <si>
    <t>2024; published</t>
  </si>
  <si>
    <t>Within operations; separate from overall reserve</t>
  </si>
  <si>
    <t>31m SSA-origin</t>
  </si>
  <si>
    <t>31m SSA-origin (rounded)</t>
  </si>
  <si>
    <t>Total operations</t>
  </si>
  <si>
    <t>https://www.un.org/development/desa/pd/sites/www.un.org.development.desa.pd/files/undesa_pd_2025_intlmigstock_2024_key_facts_and_figures_advance-unedited.pdf</t>
  </si>
  <si>
    <t>MPI / US Census ACS</t>
  </si>
  <si>
    <t>2024; MPI tabulation</t>
  </si>
  <si>
    <t>CM 98k; GH 223k; NG 533k</t>
  </si>
  <si>
    <t>https://www.migrationpolicy.org/journal/spotlight/sub-saharan-african-immigrants-united-states</t>
  </si>
  <si>
    <t>INSEE</t>
  </si>
  <si>
    <t>Included above</t>
  </si>
  <si>
    <t>2025 provisional</t>
  </si>
  <si>
    <t>7.970m × 1.6% ≈127,520 CM</t>
  </si>
  <si>
    <t>https://www.insee.fr/fr/statistiques/3633212</t>
  </si>
  <si>
    <t>Statistics Canada</t>
  </si>
  <si>
    <t>2021; private households</t>
  </si>
  <si>
    <t>33,640 Cameroon-born</t>
  </si>
  <si>
    <t>https://www150.statcan.gc.ca/t1/tbl1/en/tv.action?pid=9810030701</t>
  </si>
  <si>
    <t>Verification delivery treatment</t>
  </si>
  <si>
    <t>Jalla founder / workbook</t>
  </si>
  <si>
    <t>Plan updated 22 Oct 2026</t>
  </si>
  <si>
    <t>Raise, targets, prices, uptake</t>
  </si>
  <si>
    <t>All-in cost / routine inspection</t>
  </si>
  <si>
    <t>Live workbook; latest founder instructions</t>
  </si>
  <si>
    <t>Population limitations: rounded estimates, mixed source years, differing census definitions and possible cross-country moves. Descendants and other funding corridors are uncounted.</t>
  </si>
  <si>
    <t>Founder-researched, evidence not attached; country applicability to validate</t>
  </si>
  <si>
    <t>Model checks</t>
  </si>
  <si>
    <t>Funding mechanism</t>
  </si>
  <si>
    <t>Client pays before activation; routine inspection cost is paid from that verification fee.</t>
  </si>
  <si>
    <t>Result</t>
  </si>
  <si>
    <t>Raise allocation for routine inspections</t>
  </si>
  <si>
    <t>No routine inspection subsidy or working capital assumed. Refunds/settlement issues need a separate cash assessment.</t>
  </si>
  <si>
    <t>Capital reconciliation — should be zero</t>
  </si>
  <si>
    <t>Delivery accounting</t>
  </si>
  <si>
    <t>Deduct delivery costs from fee revenue when assessing gross profit; prepaid client balances are not free growth cash.</t>
  </si>
  <si>
    <t>Team workflow</t>
  </si>
  <si>
    <t>1. Replace planning values in Budget Evidence with better planning inputs as research progresses.</t>
  </si>
  <si>
    <t>2. Enter verified value, source, scope and date, then mark Verified; Active value updates automatically. Missing evidence keeps the planning value active.</t>
  </si>
  <si>
    <t>3. Review reserves, phase cash, hiring overlap and acquisition intensity after every update. Negative reserves indicate additional funding or spending cuts required.</t>
  </si>
  <si>
    <t>4. Fortify country/channel funnels, capacity and monthly cash schedules before using this as a defensible execution forecast.</t>
  </si>
  <si>
    <t>EUDiF / ICMPD</t>
  </si>
  <si>
    <t>UN DESA 2024</t>
  </si>
  <si>
    <t>5. The 1,000-project market tab retains corridor-based SAM; the 2,000-project market tab uses worldwide SAM. These budgets compare execution targets, not validated market capture.</t>
  </si>
  <si>
    <t>Cameroon emigrants 409,677</t>
  </si>
  <si>
    <t>https://diasporafordevelopment.eu/wp-content/uploads/2020/07/CF_Cameroon.pdf</t>
  </si>
  <si>
    <t>Project reconciliation — should be zero</t>
  </si>
  <si>
    <t>Total revenue earned</t>
  </si>
  <si>
    <t>MPI Ghana profile</t>
  </si>
  <si>
    <t>UN DESA 2024; rounded</t>
  </si>
  <si>
    <t>Ghana emigrants 1,055,000</t>
  </si>
  <si>
    <t>https://www.migrationpolicy.org/journal/country-profile/ghana-migration-trends</t>
  </si>
  <si>
    <t>SAM fee reconciliation — should be zero</t>
  </si>
  <si>
    <t>Verification cash collected</t>
  </si>
  <si>
    <t>Credit-purchase cash collected</t>
  </si>
  <si>
    <t>Expansion geographic split</t>
  </si>
  <si>
    <t>Unallocated</t>
  </si>
  <si>
    <t>MPI Nigeria profile</t>
  </si>
  <si>
    <t>850 across Ghana and Nigeria combined.</t>
  </si>
  <si>
    <t>Nigeria emigrants 2,094,000</t>
  </si>
  <si>
    <t>Current-period financial forecast</t>
  </si>
  <si>
    <t>https://www.migrationpolicy.org/journal/country-profile/nigeria-aims-capitalize-regional-integration-amid-evolving-emigration</t>
  </si>
  <si>
    <t>Not calculated</t>
  </si>
  <si>
    <t>Commission cash collected</t>
  </si>
  <si>
    <t>Monthly project arrivals, activation, delivery and collection schedules are needed.</t>
  </si>
  <si>
    <t>Investor headline: ~$551m SSA TAM at full uptake; Cameroon launch SAM and planned Cameroon/Ghana/Nigeria SAM use the same full-uptake fees. Sources cover only the corridors listed in rows 41–43.</t>
  </si>
  <si>
    <t>Funding headline: $300k → 150 Cameroon projects by March; remaining $650k → 850 additional Ghana/Nigeria projects by December; $950k → 1,000 cumulative projects.</t>
  </si>
  <si>
    <t>All currency figures USD. Annual starts and service uptake are management assumptions. Market sizes are annual-cohort lifetime fee potential, not cash, current-period earned revenue or validated forecasts.</t>
  </si>
  <si>
    <t>This tab is the revised 2027 plan. Earlier tabs retain historical assumptions and timing. Use this tab for the current market scope and funded acquisition targets; no original tab was changed.</t>
  </si>
  <si>
    <t>Revised 22 Oct 2026</t>
  </si>
  <si>
    <t>$950k; 150 then 1,850 projects</t>
  </si>
  <si>
    <t>Total customer cash collected</t>
  </si>
  <si>
    <t>Live proposed prices and founder-approved planning assumptions</t>
  </si>
  <si>
    <t>Demographic estimates are not verified counts of construction funders. Ghana/Nigeria totals are rounded; definitions may use birthplace or citizenship. The 1.5 household divisor, 1% starts and $150k budgets are explicit management assumptions.</t>
  </si>
  <si>
    <t>Cumulative revenue earned</t>
  </si>
  <si>
    <t>Cumulative customer cash</t>
  </si>
  <si>
    <t>Jalla market sizing — remote residential construction in Sub-Saharan Africa</t>
  </si>
  <si>
    <t>Desktop estimate, 21 October 2026. Demographic inputs are sourced; eligibility, project incidence, pricing uptake and coverage are assumptions.</t>
  </si>
  <si>
    <t>Selected scenario</t>
  </si>
  <si>
    <t>Base</t>
  </si>
  <si>
    <t>Earned but uncollected balance</t>
  </si>
  <si>
    <t>1,850 across Ghana and Nigeria combined.</t>
  </si>
  <si>
    <t>Investor headline: approximately $551m SSA TAM; $7.3m initial Cameroon SAM; $63.3m planned Cameroon/Ghana/Nigeria SAM. All market sizes use full uptake and all worldwide destinations.</t>
  </si>
  <si>
    <t>Selected estimate</t>
  </si>
  <si>
    <t>Funding headline: $300k → 150 Cameroon projects by March; remaining $650k → 1,850 additional Ghana/Nigeria projects by December; $950k → 2,000 cumulative qualified projects.</t>
  </si>
  <si>
    <t>TAM: revenue potential of annual new-project cohort</t>
  </si>
  <si>
    <t>This tab is the revised 2027 plan. Earlier tabs retain historical inputs. Forecast lifetime fees do not equal annual earned revenue or cash; later-acquired projects may deliver and collect in 2028.</t>
  </si>
  <si>
    <t>SSA-origin diaspora; conditional lifecycle service fees</t>
  </si>
  <si>
    <t>Initial quantified SAM: annual project-cohort revenue</t>
  </si>
  <si>
    <t>Prepaid / unearned customer cash balance</t>
  </si>
  <si>
    <t>Cameroon builds funded from USA, France and Canada; service-coverage assumption</t>
  </si>
  <si>
    <t>Initial SOM: qualified projects</t>
  </si>
  <si>
    <t>Jalla — working cap table and financing model</t>
  </si>
  <si>
    <t>January 2027 management acquisition target, not demonstrated demand</t>
  </si>
  <si>
    <t>Initial SOM: adjusted lifetime revenue potential</t>
  </si>
  <si>
    <t>Planning document • 22 October 2026 • One $950k round with rolling closes; $300k operational threshold and proposed early allocation.</t>
  </si>
  <si>
    <t>Current ownership is founder-reported. Projected percentages are conditional cap-based conversion, not issued shares or agreed investor terms.</t>
  </si>
  <si>
    <t>Cohort lifetime potential; not earned revenue, cash, ARR or annual bookings</t>
  </si>
  <si>
    <t>Control / assumption</t>
  </si>
  <si>
    <t>Initial SOM: full-uptake lifetime revenue ceiling</t>
  </si>
  <si>
    <t>Status / scope</t>
  </si>
  <si>
    <t>Existing Revenue Model; all stages verified and all modeled bidding / awards</t>
  </si>
  <si>
    <t>Annual new projects implied by TAM</t>
  </si>
  <si>
    <t>Selected negotiation scenario</t>
  </si>
  <si>
    <t>Opening</t>
  </si>
  <si>
    <t>Choose Opening or Alternative; proposal only</t>
  </si>
  <si>
    <t>Estimated unique starts per year, not active project stock</t>
  </si>
  <si>
    <t>Jalla — investor commitments and funding register</t>
  </si>
  <si>
    <t>Total equity raise target</t>
  </si>
  <si>
    <t>Annual serviceable starts implied by initial SAM</t>
  </si>
  <si>
    <t>Lifetime estimate still unearned</t>
  </si>
  <si>
    <t>Founder-reported as of 22 October 2026. Indications, cash received and signed securities are separate. Blank evidence fields mean supporting records have not yet been attached.</t>
  </si>
  <si>
    <t>Partial Cameroon SAM; other funding countries excluded</t>
  </si>
  <si>
    <t>Includes relative $20k only in the conditional equity illustration</t>
  </si>
  <si>
    <t>Early allocation / deployment threshold</t>
  </si>
  <si>
    <t>Blue values are editable. Enter signed SAFE principal/cap and a document link only after execution; funded SAFE principal is limited to cash received.</t>
  </si>
  <si>
    <t>Investor / reference</t>
  </si>
  <si>
    <t>First funds received under signed agreements; commitments alone do not qualify</t>
  </si>
  <si>
    <t>Early cap reduction</t>
  </si>
  <si>
    <t>Commitment / indication USD</t>
  </si>
  <si>
    <t>10% lower cap; no additional conversion discount assumed</t>
  </si>
  <si>
    <t>Cash received USD</t>
  </si>
  <si>
    <t>Employee pool target after modeled SAFE conversion</t>
  </si>
  <si>
    <t>Unallocated reserve; no employee grants established; before future new-money dilution</t>
  </si>
  <si>
    <t>Signed SAFE principal USD</t>
  </si>
  <si>
    <t>Combined investor dilution ceiling</t>
  </si>
  <si>
    <t>Negotiation ceiling in this cap-conversion model, not guaranteed final dilution</t>
  </si>
  <si>
    <t>Proposed allocation</t>
  </si>
  <si>
    <t>First Investor— conditional equity allocation</t>
  </si>
  <si>
    <t>Signed post-money cap USD</t>
  </si>
  <si>
    <t>Supporting document / source URL</t>
  </si>
  <si>
    <t>Next action</t>
  </si>
  <si>
    <t>Last reviewed</t>
  </si>
  <si>
    <t>Terms unresolved; $13k cash received, $7k not received</t>
  </si>
  <si>
    <t>Documented funded SAFE USD</t>
  </si>
  <si>
    <t>Published inputs and existing Jalla commercial inputs</t>
  </si>
  <si>
    <t>Cap-based ownership</t>
  </si>
  <si>
    <t>Prospective investor — conditional allocation</t>
  </si>
  <si>
    <t>Wuba Ofe</t>
  </si>
  <si>
    <t>Revenue/cash reconciliation (must be zero)</t>
  </si>
  <si>
    <t>$50k verbal interest; independent due diligence pending; unsigned and unfunded</t>
  </si>
  <si>
    <t>Derived financing terms</t>
  </si>
  <si>
    <t>Early</t>
  </si>
  <si>
    <t>Evidence class</t>
  </si>
  <si>
    <t>Standard post-money cap</t>
  </si>
  <si>
    <t>Source / limitation</t>
  </si>
  <si>
    <t>$20k committed; $13k received; $7k expected soon; instrument unresolved</t>
  </si>
  <si>
    <t>Receive remaining $7k; document loan-versus-equity terms</t>
  </si>
  <si>
    <t>2026-10-22</t>
  </si>
  <si>
    <t>SSA-origin international migrants, 2024 (rounded)</t>
  </si>
  <si>
    <t>Proposed cap; not an independently supported valuation</t>
  </si>
  <si>
    <t>Early post-money cap</t>
  </si>
  <si>
    <t>Published data</t>
  </si>
  <si>
    <t>UN DESA International Migrant Stock 2024 summary. Includes intra-African migrants and minors; descendants excluded.</t>
  </si>
  <si>
    <t>Cameroon-born residents in USA, 2024</t>
  </si>
  <si>
    <t>Applies only if early terms are agreed and funded</t>
  </si>
  <si>
    <t>Standard allocation</t>
  </si>
  <si>
    <t>MPI's own tabulation of U.S. Census ACS 2024; first-generation population, not households.</t>
  </si>
  <si>
    <t>Total immigrants in France, 2025 (provisional)</t>
  </si>
  <si>
    <t>Balance of the single financing plan</t>
  </si>
  <si>
    <t>Scenario inputs</t>
  </si>
  <si>
    <t>Alternative</t>
  </si>
  <si>
    <t>INSEE: L'essentiel sur les immigrés et les étrangers; 2025 provisional total.</t>
  </si>
  <si>
    <t>Cameroon share of immigrants in France, 2025</t>
  </si>
  <si>
    <t>Authorized shares</t>
  </si>
  <si>
    <t>Unknown — obtain articles/amendments; do not assume a standard share count</t>
  </si>
  <si>
    <t>Founder shares actually issued</t>
  </si>
  <si>
    <t>Unknown — obtain stock ledger and issuance approvals</t>
  </si>
  <si>
    <t>Current founder ownership</t>
  </si>
  <si>
    <t>Budgeted operating cash outflow</t>
  </si>
  <si>
    <t xml:space="preserve">Sole shareholder per founder. </t>
  </si>
  <si>
    <t>Joe Campanella</t>
  </si>
  <si>
    <t>Full-raise illustration — NOT current ownership</t>
  </si>
  <si>
    <t>Holder / allocation</t>
  </si>
  <si>
    <t>Modeled capital USD</t>
  </si>
  <si>
    <t>INSEE 2025 rounded share; derived Cameroon count is approximate.</t>
  </si>
  <si>
    <t>Proposed cap USD</t>
  </si>
  <si>
    <t>Verbal; due diligence pending</t>
  </si>
  <si>
    <t>Modeled ownership</t>
  </si>
  <si>
    <t>Basis / status</t>
  </si>
  <si>
    <t>Derived Cameroon-origin immigrants in France</t>
  </si>
  <si>
    <t>Complete independent due diligence; no signed or funded investment</t>
  </si>
  <si>
    <t>Residual after investors and 10% employee pool</t>
  </si>
  <si>
    <t>Unallocated employee pool</t>
  </si>
  <si>
    <t>Target reserve, not employee stock already granted</t>
  </si>
  <si>
    <t>First Investor — if converted to agreed SAFE</t>
  </si>
  <si>
    <t>Derived from published data</t>
  </si>
  <si>
    <t>Uses rounded total/share; not an exact census count.</t>
  </si>
  <si>
    <t>Cameroon-born residents in Canada, 2021</t>
  </si>
  <si>
    <t>Statistics Canada table 98-10-0307-01: total Cameroon-born persons in private households, not just 28,755 landed immigrants.</t>
  </si>
  <si>
    <t>Population proxy across three funding corridors</t>
  </si>
  <si>
    <t>$20k committed; $13k received and $7k expected soon. SAFE treatment remains hypothetical.</t>
  </si>
  <si>
    <t>Soft investor — if diligence and close succeed</t>
  </si>
  <si>
    <t>Financing cash inflow (excluded from revenue)</t>
  </si>
  <si>
    <t>Conditional $50k; no allocation guaranteed</t>
  </si>
  <si>
    <t>Other early investors / replacement allocation</t>
  </si>
  <si>
    <t>Derived mixed-year proxy</t>
  </si>
  <si>
    <t>USA 2024 + France 2025 + Canada 2021. Not a contemporaneous census. Migration between dates can cause overlap; no growth assumed.</t>
  </si>
  <si>
    <t>SSA personal remittances received, 2024 (USD)</t>
  </si>
  <si>
    <t>Unidentified balance of early allocation</t>
  </si>
  <si>
    <t>Standard investors / unallocated balance</t>
  </si>
  <si>
    <t>Opening company cash</t>
  </si>
  <si>
    <t>World Bank WDI API, BX.TRF.PWKR.CD.DT; SSF. Retrieved 21 Oct 2026, dataset updated 8 Oct 2026.</t>
  </si>
  <si>
    <t>Cameroon personal remittances received, 2024 (USD)</t>
  </si>
  <si>
    <t>Register totals</t>
  </si>
  <si>
    <t>World Bank WDI API, BX.TRF.PWKR.CD.DT; CMR. Context only; not the construction market.</t>
  </si>
  <si>
    <t>Jalla reference project value</t>
  </si>
  <si>
    <t>Unidentified balance; no committed capital implied</t>
  </si>
  <si>
    <t>Jalla planning input</t>
  </si>
  <si>
    <t>Closing company cash</t>
  </si>
  <si>
    <t>Existing commercial model. Not a measured national or regional average.</t>
  </si>
  <si>
    <t>Single $950k full-raise illustration</t>
  </si>
  <si>
    <t>All investor ownership</t>
  </si>
  <si>
    <t>Committed / indicated balance not received</t>
  </si>
  <si>
    <t>Jalla proposed price</t>
  </si>
  <si>
    <t>Existing Revenue Model.</t>
  </si>
  <si>
    <t>Compare with 20% ceiling; contingent on conversion assumptions</t>
  </si>
  <si>
    <t>Bid revenue for one fully bid opportunity</t>
  </si>
  <si>
    <t>Funding reality — separate from full-raise illustration</t>
  </si>
  <si>
    <t>USD / value</t>
  </si>
  <si>
    <t>Commitments plus conditional indications</t>
  </si>
  <si>
    <t>Cameroon bid pricing used as an unvalidated regional proxy; country pricing will differ.</t>
  </si>
  <si>
    <t>$7k committed by first investor, expected soon; $50k investor interest is conditional on due diligence.</t>
  </si>
  <si>
    <t>$20k relative commitment + $50k conditional verbal interest; not closed equity</t>
  </si>
  <si>
    <t>Contractor fee as share of project budget</t>
  </si>
  <si>
    <t>Cash actually received</t>
  </si>
  <si>
    <t>Cash versus security</t>
  </si>
  <si>
    <t>The $13k is received funding with unresolved terms, not documented SAFE equity. Do not treat it as a completed equity close.</t>
  </si>
  <si>
    <t>$13k relative funding; instrument unresolved</t>
  </si>
  <si>
    <t>Indicated balance not received</t>
  </si>
  <si>
    <t>Update rule</t>
  </si>
  <si>
    <t>Separate professional fee, not contractor profit or total contract receipts.</t>
  </si>
  <si>
    <t>Indicated total includes amounts received. Never add B and C together. Unknown investor names stay unresolved until identified.</t>
  </si>
  <si>
    <t>Jalla commission on eligible contractor fee</t>
  </si>
  <si>
    <t>$7k committed balance expected soon + $50k conditional verbal interest</t>
  </si>
  <si>
    <t>Signed terms control</t>
  </si>
  <si>
    <t>Signed SAFE principal reported</t>
  </si>
  <si>
    <t>Proposed Early/Standard band does not establish a cap. Enter the actual signed cap in F; the ownership calculation uses F, not the scenario cap.</t>
  </si>
  <si>
    <t>Relative funding assumption</t>
  </si>
  <si>
    <t>No finalized SAFE reported; document evidence required</t>
  </si>
  <si>
    <t>Earned: verification report delivered; bid access/proposal service delivered; commission entitlement established under signed terms.</t>
  </si>
  <si>
    <t>Applies only to an eligible Jalla-originated hire.</t>
  </si>
  <si>
    <t>The full-raise illustration assumes the entire $20k becomes an early SAFE within the $950k. This is not agreed. If it becomes a loan, replace this equity allocation and review repayment cash needs.</t>
  </si>
  <si>
    <t>Documented and funded SAFE principal</t>
  </si>
  <si>
    <t>Project lifecycle (months)</t>
  </si>
  <si>
    <t>Commission schedule assumes entitlement arises with eligible contractor receipts. Final recognition depends on signed terms and collectability.</t>
  </si>
  <si>
    <t>Soft commitment assumption</t>
  </si>
  <si>
    <t>Founder assumption</t>
  </si>
  <si>
    <t>No completed SAFE funding documented in this working model</t>
  </si>
  <si>
    <t>The $50k is shown as a possible early allocation in the full-raise illustration only. No early allocation is reserved and no terms or equity are granted.</t>
  </si>
  <si>
    <t>Average provided by founder; not established by regional project data.</t>
  </si>
  <si>
    <t>Cash to reach gross $950k, if all receipts count</t>
  </si>
  <si>
    <t>Winning-bid deduction per award</t>
  </si>
  <si>
    <t>Credit cash may precede use: edit the cash row to reflect top-ups. Unused credits remain unearned; no expiry/breakage revenue assumed.</t>
  </si>
  <si>
    <t>Scope</t>
  </si>
  <si>
    <t>Unearned lifetime estimates are conditional opportunities, not receivables or contracted backlog. Financing and construction funds are not revenue.</t>
  </si>
  <si>
    <t>Cap-based SAFE ownership is before priced-round new money/pool changes and assumes cap conversion. It is not current issued stock ownership.</t>
  </si>
  <si>
    <t>June–August cash balance is blank: operating spending has not been budgeted beyond May. Costs cover five months; revenue spans seven.</t>
  </si>
  <si>
    <t>Conditional $937k; do not subtract unreceived indications</t>
  </si>
  <si>
    <t>Source</t>
  </si>
  <si>
    <t>Modeled equity capital still unclosed</t>
  </si>
  <si>
    <t>Founder statements in this discussion; supporting subscription, share issuance and bank records not inspected.</t>
  </si>
  <si>
    <t>Forecast balances are grouped by stream. Actual tracker below separates customer obligations to avoid offsetting.</t>
  </si>
  <si>
    <t>Jalla proposed term</t>
  </si>
  <si>
    <t>Current setting linked from Revenue Timing; no deduction is assumed unless changed there.</t>
  </si>
  <si>
    <t>Wuba Ofe — total committed</t>
  </si>
  <si>
    <t>USD/XAF conversion is the existing planning input, not a live FX quote. Refunds, bad debts and tax require separate adjustments if incurred.</t>
  </si>
  <si>
    <t>$950k until unresolved first investor cash is formally treated as equity</t>
  </si>
  <si>
    <t>Sources: existing Revenue Model; Use Of Funds; user seven-month lifecycle. Timing/uptake inputs are illustrations, not actual results.</t>
  </si>
  <si>
    <t>Scenario assumptions — all unvalidated; blue inputs are editable</t>
  </si>
  <si>
    <t>Pool sizing and checks</t>
  </si>
  <si>
    <t>Active</t>
  </si>
  <si>
    <t>Low</t>
  </si>
  <si>
    <t>Lifetime revenue: conditional estimate over seven months. Qualification alone does not earn revenue.</t>
  </si>
  <si>
    <t>Pool reserve before SAFE dilution, to retain target</t>
  </si>
  <si>
    <t>High</t>
  </si>
  <si>
    <t>Class</t>
  </si>
  <si>
    <t>Rationale / limitation</t>
  </si>
  <si>
    <t>Global eligibility share</t>
  </si>
  <si>
    <t>Earned revenue: delivered services and established commission entitlements. Earned but unpaid amounts are accrued/receivable.</t>
  </si>
  <si>
    <t>Customer cash: receipts for Jalla services. Prepaid verification and unused bid credits remain unearned.</t>
  </si>
  <si>
    <t>Illustrative reserve sizing if established before SAFEs; actual implementation/approvals unresolved</t>
  </si>
  <si>
    <t>Actuals status: no transaction records provided. Zero totals below mean no entered records, not confirmed zero historical revenue.</t>
  </si>
  <si>
    <t>Total ownership check — zero</t>
  </si>
  <si>
    <t>Wuba Ofe— received</t>
  </si>
  <si>
    <t>Recognition basis: performance obligations must be satisfied. Commission entitlement and timing depend on signed terms.</t>
  </si>
  <si>
    <t>Revenue actuals — cumulative balances as of reporting date</t>
  </si>
  <si>
    <t>Arithmetic check</t>
  </si>
  <si>
    <t>Capital allocation check — zero</t>
  </si>
  <si>
    <t>Investor dilution headroom</t>
  </si>
  <si>
    <t>Enter one unique customer obligation / credit wallet per row. All figures USD. Blank records mean no actual data supplied.</t>
  </si>
  <si>
    <t>Revenue earned to date</t>
  </si>
  <si>
    <t>Wuba Ofe — committed balance expected soon</t>
  </si>
  <si>
    <t>Management assumption</t>
  </si>
  <si>
    <t>Excludes people without financial capacity or a plausible owner role. Judgment, not measured from UN data.</t>
  </si>
  <si>
    <t>Eligible migrants per unique funding household</t>
  </si>
  <si>
    <t>Negative means modeled dilution exceeds ceiling</t>
  </si>
  <si>
    <t>Early allocation headroom</t>
  </si>
  <si>
    <t>Negative means named indications exceed early allocation; rebalance proposal</t>
  </si>
  <si>
    <t>Minimum standard cap at dilution ceiling</t>
  </si>
  <si>
    <t>Household adjustment to reduce person-count duplication. No published diaspora-specific average.</t>
  </si>
  <si>
    <t>Annual unique new-project starts per eligible household</t>
  </si>
  <si>
    <t>Customer cash collected to date</t>
  </si>
  <si>
    <t>Mathematical cap floor with proposed early incentive; not market valuation</t>
  </si>
  <si>
    <t>0.5–2% incidence sensitivity; base means one start per 100 household-years. Not observed behavior.</t>
  </si>
  <si>
    <t>SSA average project budget (USD)</t>
  </si>
  <si>
    <t>Evidence and decision log</t>
  </si>
  <si>
    <t>Current position</t>
  </si>
  <si>
    <t>Next proof / review trigger</t>
  </si>
  <si>
    <t>Onboarded owner projects</t>
  </si>
  <si>
    <t>Four in pipeline; update only after completed onboarding</t>
  </si>
  <si>
    <t>Operations / Product</t>
  </si>
  <si>
    <t>Customer fees collected USD</t>
  </si>
  <si>
    <t>First paid service and supporting payment record</t>
  </si>
  <si>
    <t>Founder / Operations</t>
  </si>
  <si>
    <t>Pipeline projects</t>
  </si>
  <si>
    <t>Base is below Jalla's $150k reference; judgment, not a verified regional average.</t>
  </si>
  <si>
    <t>Deduplicated owner, scope, consent and onboarding progress</t>
  </si>
  <si>
    <t>Operations</t>
  </si>
  <si>
    <t>SSA share of stage value buying verification</t>
  </si>
  <si>
    <t>Partners expecting introductions</t>
  </si>
  <si>
    <t>Earned but uncollected (accrued / receivable)</t>
  </si>
  <si>
    <t>Actual owner introductions and conversion; expectations are not active projects</t>
  </si>
  <si>
    <t>Growth</t>
  </si>
  <si>
    <t>Cap negotiation evidence</t>
  </si>
  <si>
    <t>Provisional $7M/$6.3M; $6M/$5.4M alternative</t>
  </si>
  <si>
    <t>Record investor counteroffers, written terms, signed commitments and funds</t>
  </si>
  <si>
    <t>Purchase uptake scenario, not Jalla market share.</t>
  </si>
  <si>
    <t>Relative instrument</t>
  </si>
  <si>
    <t>SSA share receiving modeled paid bids</t>
  </si>
  <si>
    <t>Unresolved</t>
  </si>
  <si>
    <t>Loan or SAFE; whether included in $950k; agree treatment of $13k and $7k</t>
  </si>
  <si>
    <t>Employee ownership</t>
  </si>
  <si>
    <t>10% target reserve</t>
  </si>
  <si>
    <t>Confirm pool timing, grant plan and approvals</t>
  </si>
  <si>
    <t>Share records</t>
  </si>
  <si>
    <t>Not inspected</t>
  </si>
  <si>
    <t>Eligible procurement / paid-bid activity proxy. No observed conversion data.</t>
  </si>
  <si>
    <t>Authorized/issued shares, classes, stock ledger and issuance approvals</t>
  </si>
  <si>
    <t>SSA share generating an eligible commission</t>
  </si>
  <si>
    <t>Method and sources</t>
  </si>
  <si>
    <t>Prepaid cash still unearned</t>
  </si>
  <si>
    <t>Cap conversion</t>
  </si>
  <si>
    <t>Successful eligible contractor awards; no validated conversion data.</t>
  </si>
  <si>
    <t>Investor amount / respective post-money cap. Sum across early and standard allocations. Full funding, cap conversion and no other securities assumed.</t>
  </si>
  <si>
    <t>Core-corridor eligibility share</t>
  </si>
  <si>
    <t>Pool convention</t>
  </si>
  <si>
    <t>Employee reserve is targeted to 10% at this modeled point; founder is residual. A 10% pool created today would dilute below 10% unless sized appropriately.</t>
  </si>
  <si>
    <t>Conversion limits</t>
  </si>
  <si>
    <t>A lower priced-round share price, different signed terms, future new money or a new/increased pool changes actual conversion and dilution; 20% is not a guaranteed legal maximum.</t>
  </si>
  <si>
    <t>SAFE status</t>
  </si>
  <si>
    <t>SAFEs are not issued shares until conversion. Relative and verbal investor entries are not signed SAFEs. No share counts, conversion prices or individual employee grants invented.</t>
  </si>
  <si>
    <t>Evidence update workflow</t>
  </si>
  <si>
    <t>USA/France/Canada financial/owner eligibility assumption. Income context does not measure this share.</t>
  </si>
  <si>
    <t>Change scenario/cap inputs as negotiations develop. Update the investor register from receipts and executed documents. Review pool, ceiling and share records before treating a projection as an actual cap table.</t>
  </si>
  <si>
    <t>Core-corridor migrants per funding household</t>
  </si>
  <si>
    <t>Source — SAFE mechanics</t>
  </si>
  <si>
    <t>https://www.ycombinator.com/safe</t>
  </si>
  <si>
    <t>Source — company facts</t>
  </si>
  <si>
    <t>Founder report, 22 October 2026. No onboarded owner projects or customer revenue; four project prospects; five partners anticipating introductions.</t>
  </si>
  <si>
    <t>Same unvalidated household adjustment.</t>
  </si>
  <si>
    <t>Core-corridor annual project-start rate</t>
  </si>
  <si>
    <t>Annual starts assumption; existing construction stock not additionally counted.</t>
  </si>
  <si>
    <t>Cameroon operational service-coverage share</t>
  </si>
  <si>
    <t>Share of prospective project locations/scopes Jalla could serve; requires delivery coverage, not a current measured map.</t>
  </si>
  <si>
    <t>Cameroon average project budget (USD)</t>
  </si>
  <si>
    <t>Base links conceptually to founder's reference budget, not a market survey.</t>
  </si>
  <si>
    <t>Cameroon share of stage value verified</t>
  </si>
  <si>
    <t>Verification purchase assumption.</t>
  </si>
  <si>
    <t>Cameroon share receiving modeled paid bids</t>
  </si>
  <si>
    <t>Procurement and bidding participation assumption.</t>
  </si>
  <si>
    <t>Cameroon share generating eligible commission</t>
  </si>
  <si>
    <t>Award / fee-entitlement assumption.</t>
  </si>
  <si>
    <t>Exclude investor funds and construction money held for others. Enter earned amounts only when the service/commission conditions are met.</t>
  </si>
  <si>
    <t>All scenario outputs are estimates. Low and High are joint sensitivities, not statistical confidence bounds.</t>
  </si>
  <si>
    <t>Use cumulative earned and cash amounts for the same obligation. Update partial collections here; do not repeat the same obligation.</t>
  </si>
  <si>
    <t>TAM includes a blended mix of hiring / non-hiring projects. Only eligible Jalla-originated hires earn commission. Fees exclude future payment/FX revenue.</t>
  </si>
  <si>
    <t>Keep dated invoices, reports, credit-use records, commission evidence and receipts as support. This is a management tracker, not a general ledger.</t>
  </si>
  <si>
    <t>Annual-cohort revenue is the lifetime service-fee pool for projects started each year. Recognized annual revenue approaches this only with stable mature cohorts.</t>
  </si>
  <si>
    <t>Build: TAM</t>
  </si>
  <si>
    <t>Unique obligation / wallet ID</t>
  </si>
  <si>
    <t>Revenue stream</t>
  </si>
  <si>
    <t>Project / customer</t>
  </si>
  <si>
    <t>Cash collected to date</t>
  </si>
  <si>
    <t>Earned, uncollected</t>
  </si>
  <si>
    <t>Prepaid, unearned</t>
  </si>
  <si>
    <t>SSA-origin people</t>
  </si>
  <si>
    <t>Direct costs to date</t>
  </si>
  <si>
    <t>Evidence / recognition notes</t>
  </si>
  <si>
    <t>Eligible potential funders</t>
  </si>
  <si>
    <t>Unique eligible funding households</t>
  </si>
  <si>
    <t>Annual project-start rate</t>
  </si>
  <si>
    <t>Annual unique project starts</t>
  </si>
  <si>
    <t>Average project budget</t>
  </si>
  <si>
    <t>Verification revenue per project</t>
  </si>
  <si>
    <t>Bid revenue per project (expected)</t>
  </si>
  <si>
    <t>Commission per awarded project before uptake</t>
  </si>
  <si>
    <t>Commission revenue per project (expected)</t>
  </si>
  <si>
    <t>Total revenue per project (expected)</t>
  </si>
  <si>
    <t>TAM: annual cohort lifecycle revenue potential</t>
  </si>
  <si>
    <t>TAM: value of annually originated projects</t>
  </si>
  <si>
    <t>Project-value proxy / annual SSA remittances</t>
  </si>
  <si>
    <t>Reconciliation: revenue minus stream totals</t>
  </si>
  <si>
    <t>Build: initial quantified Cameroon SAM</t>
  </si>
  <si>
    <t>Eligible funders in selected corridors</t>
  </si>
  <si>
    <t>Annual starts before operating-coverage filter</t>
  </si>
  <si>
    <t>Service-coverage assumption</t>
  </si>
  <si>
    <t>Annual serviceable project starts</t>
  </si>
  <si>
    <t>Initial SAM: annual cohort lifecycle revenue</t>
  </si>
  <si>
    <t>SAM: value of annually originated projects</t>
  </si>
  <si>
    <t>Project-value proxy / annual Cameroon remittances</t>
  </si>
  <si>
    <t>Build: initial SOM and January acquisition funnel</t>
  </si>
  <si>
    <t>Qualified projects target — January 2027</t>
  </si>
  <si>
    <t>Adjusted SOM cohort lifetime revenue potential</t>
  </si>
  <si>
    <t>Full-uptake SOM cohort lifetime revenue</t>
  </si>
  <si>
    <t>January target / estimated annual core SAM starts</t>
  </si>
  <si>
    <t>Owner inquiries needed (modeled)</t>
  </si>
  <si>
    <t>Completed qualification conversations</t>
  </si>
  <si>
    <t>Inquiry-to-completed-conversation conversion</t>
  </si>
  <si>
    <t>Conversation-to-qualified-project conversion</t>
  </si>
  <si>
    <t>Qualification specialists</t>
  </si>
  <si>
    <t>Working days in sprint</t>
  </si>
  <si>
    <t>Conversations per specialist per working day</t>
  </si>
  <si>
    <t>Capital allocated per target project (not CAC)</t>
  </si>
  <si>
    <t>Acquisition + sales allocation per project (not observed CAC)</t>
  </si>
  <si>
    <t>January starts can be seasonal; the 150 target also includes ongoing / pre-start projects actively hiring. This stock is not identical to annual new starts.</t>
  </si>
  <si>
    <t>No 12-month acquisition forecast is implied by multiplying January by 12. The funded initial SOM target is 150; further scale needs a separately funded plan.</t>
  </si>
  <si>
    <t>Cross-checks and comparable businesses</t>
  </si>
  <si>
    <t>Finding</t>
  </si>
  <si>
    <t>Meaning / limitation</t>
  </si>
  <si>
    <t>Remittance comparison</t>
  </si>
  <si>
    <t>SSA annual cohort budgets / recorded remittances. Only an order-of-magnitude check: direct investment and informal funding may fall outside remittances.</t>
  </si>
  <si>
    <t>Cameroon remittance comparison</t>
  </si>
  <si>
    <t>Same timing/category limitation. This does not prove construction allocation; a high implied share signals sensitivity.</t>
  </si>
  <si>
    <t>Housing starts / permits</t>
  </si>
  <si>
    <t>No comparable current remote-owner split retrieved</t>
  </si>
  <si>
    <t>Do not infer diaspora starts from housing deficits or construction GDP value added.</t>
  </si>
  <si>
    <t>IntegriPro, Cameroon</t>
  </si>
  <si>
    <t>Independent oversight tiers; one self-reported USA-funded Limbe pilot</t>
  </si>
  <si>
    <t>Provider describes service and a pilot. Not independently audited demand, annual sales or market share.</t>
  </si>
  <si>
    <t>NTM Construction, Cameroon</t>
  </si>
  <si>
    <t>Markets remote management, supervision and project recovery</t>
  </si>
  <si>
    <t>Confirms an existing substitute/competitor offer, not verified sales volumes or willingness to pay at Jalla's prices.</t>
  </si>
  <si>
    <t>MyAwayHome / Future Africa, 2020</t>
  </si>
  <si>
    <t>2 of 26 active deals described as custom construction</t>
  </si>
  <si>
    <t>Investor portfolio article; selected historical mortgage/property deals. Not a population sample or current conversion benchmark.</t>
  </si>
  <si>
    <t>Property value comparison</t>
  </si>
  <si>
    <t>MyAwayHome reported $180,000 average property value in 2020</t>
  </si>
  <si>
    <t>Includes completed property. Directional premium-segment context only; does not validate $100k/$150k construction averages.</t>
  </si>
  <si>
    <t>Kenya 2025 household survey</t>
  </si>
  <si>
    <t>Construction use is measured by respondent incidence</t>
  </si>
  <si>
    <t>Cannot apply respondent percentages to money volume; also cannot transfer Kenya's rate to Cameroon.</t>
  </si>
  <si>
    <t>Historical World Bank housing evidence</t>
  </si>
  <si>
    <t>Land, construction and improvement allocations vary by country</t>
  </si>
  <si>
    <t>2011 Migration Project data; useful category check, not current regional percentages.</t>
  </si>
  <si>
    <t>UN geography / remittance geography</t>
  </si>
  <si>
    <t>Definitions may differ, including treatment of Sudan</t>
  </si>
  <si>
    <t>Do not interpret cross-check ratios as exact shares of one perfectly matched population.</t>
  </si>
  <si>
    <t>Excluded demand</t>
  </si>
  <si>
    <t>Other diaspora funding countries; descendants; domestic remote owners; ongoing-build stock</t>
  </si>
  <si>
    <t>Omitted from quantified core SAM / starts model, not claimed to be zero. No unverified expansion multiplier.</t>
  </si>
  <si>
    <t>Revenue economics</t>
  </si>
  <si>
    <t>Gross fees before verifier, support, collection and acquisition costs</t>
  </si>
  <si>
    <t>Revenue TAM is not profit. Unit economics still require paid delivery data.</t>
  </si>
  <si>
    <t>Source register — URLs, vintages and evidence status</t>
  </si>
  <si>
    <t>Dataset / page</t>
  </si>
  <si>
    <t>Vintage</t>
  </si>
  <si>
    <t>Evidence</t>
  </si>
  <si>
    <t>URL</t>
  </si>
  <si>
    <t>Use / caveat</t>
  </si>
  <si>
    <t>International Migrant Stock 2024 summary</t>
  </si>
  <si>
    <t>2024; rounded SSA-origin total</t>
  </si>
  <si>
    <t>31 million; includes intra-African migrants. Full workbook download blocked; summary indexed.</t>
  </si>
  <si>
    <t>MPI / U.S. Census ACS</t>
  </si>
  <si>
    <t>Sub-Saharan African Immigrants in the United States</t>
  </si>
  <si>
    <t>2024 ACS; MPI original tabulation</t>
  </si>
  <si>
    <t>98,000 Cameroon-born residents; $91,400 median household income. Income is context, not measured financial eligibility.</t>
  </si>
  <si>
    <t>L'essentiel sur les immigrés et les étrangers</t>
  </si>
  <si>
    <t>2025 provisional estimates</t>
  </si>
  <si>
    <t>7,970,000 immigrants × rounded 1.6% Cameroon share = approximate 127,520.</t>
  </si>
  <si>
    <t>Table 98-10-0307-01</t>
  </si>
  <si>
    <t>2021 Census; private households</t>
  </si>
  <si>
    <t>33,640 Cameroon-born residents. Earlier year; not inflated to 2026.</t>
  </si>
  <si>
    <t>World Bank WDI</t>
  </si>
  <si>
    <t>Personal remittances received (USD)</t>
  </si>
  <si>
    <t>2024; dataset updated 8 Oct 2026</t>
  </si>
  <si>
    <t>https://api.worldbank.org/v2/country/SSF/indicator/BX.TRF.PWKR.CD.DT?date=2024&amp;format=json</t>
  </si>
  <si>
    <t>57,220,391,725.7078 USD. Downloaded via official API.</t>
  </si>
  <si>
    <t>Cameroon personal remittances received</t>
  </si>
  <si>
    <t>https://api.worldbank.org/v2/country/CMR/indicator/BX.TRF.PWKR.CD.DT?date=2024&amp;format=json</t>
  </si>
  <si>
    <t>690,153,000.670355 USD. Cross-check, not construction volume.</t>
  </si>
  <si>
    <t>IntegriPro</t>
  </si>
  <si>
    <t>Independent construction oversight</t>
  </si>
  <si>
    <t>Website retrieved 21 Oct 2026</t>
  </si>
  <si>
    <t>Provider self-report</t>
  </si>
  <si>
    <t>https://integripro.co/</t>
  </si>
  <si>
    <t>USA-funded Limbe pilot. No independently verified annual revenue or project counts.</t>
  </si>
  <si>
    <t>NTM Construction</t>
  </si>
  <si>
    <t>Remote construction services</t>
  </si>
  <si>
    <t>https://ntmcm.com/</t>
  </si>
  <si>
    <t>Commercial service availability; no market-size denominator.</t>
  </si>
  <si>
    <t>Future Africa</t>
  </si>
  <si>
    <t>MyAwayHome investment article</t>
  </si>
  <si>
    <t>11 Nov 2020</t>
  </si>
  <si>
    <t>Investor self-report</t>
  </si>
  <si>
    <t>https://www.future.africa/news-insights/myawayhome-is-fuelling-diasporan-property-investments-back-home</t>
  </si>
  <si>
    <t>2/26 active deals custom construction; $180k average property. Selected historical portfolio, not a regional benchmark.</t>
  </si>
  <si>
    <t>KNBS / CBK</t>
  </si>
  <si>
    <t>Remittances Household Survey 2025</t>
  </si>
  <si>
    <t>June 2024–May 2025 reference period</t>
  </si>
  <si>
    <t>Published survey</t>
  </si>
  <si>
    <t>https://statistics.knbs.or.ke/nada/index.php/catalog/185/download/766</t>
  </si>
  <si>
    <t>Figure 5.1 / Table 5.1 respondent use incidence; do not interpret as spending share.</t>
  </si>
  <si>
    <t>World Bank</t>
  </si>
  <si>
    <t>Stocktaking of Housing Sector in SSA, Table 10</t>
  </si>
  <si>
    <t>Source: Africa Migration Project 2011</t>
  </si>
  <si>
    <t>Historical published evidence</t>
  </si>
  <si>
    <t>https://www.worldbank.org/content/dam/Worldbank/document/Africa/Report/stocktaking-of-the-housing-sector-in-sub-saharan-africa-full-report.pdf</t>
  </si>
  <si>
    <t>Illustrates variation among land / construction / improvements; not a current calibration.</t>
  </si>
  <si>
    <t>Jalla</t>
  </si>
  <si>
    <t>Revenue Model, Revenue Timing, Use Of Funds</t>
  </si>
  <si>
    <t>Live workbook read 21 Oct 2026</t>
  </si>
  <si>
    <t>Founder plans and prices</t>
  </si>
  <si>
    <t>Existing workbook</t>
  </si>
  <si>
    <t>150-project January target, $150k reference budget, 1.5% verification, proposed credits / commission; not actual transactions.</t>
  </si>
  <si>
    <t>Management assumptions</t>
  </si>
  <si>
    <t>All Low / Base / High inputs</t>
  </si>
  <si>
    <t>Prepared 21 Oct 2026</t>
  </si>
  <si>
    <t>Unvalidated scenario inputs</t>
  </si>
  <si>
    <t>Rows 33–47; C95:C98</t>
  </si>
  <si>
    <t>Reasoned desktop assumptions, not survey findings. No confidence interval claimed.</t>
  </si>
  <si>
    <t>Investor interpretation</t>
  </si>
  <si>
    <t>A demographic model supports an estimated current-service fee pool, with wide sensitivity to household eligibility and annual building incidence.</t>
  </si>
  <si>
    <t>The core SAM is deliberately scoped to USA/France/Canada-funded Cameroon projects. It is not a claim that these corridors exhaust Cameroon's remote construction market.</t>
  </si>
  <si>
    <t>Use 'management estimate based on published demographic data'. Do not label these outputs measured market facts, TAM validated by customers, ARR, contracted revenue or cash.</t>
  </si>
  <si>
    <t>The 150-project goal tests acquisition. Paid verification, contractor awards, collections and gross margin test whether the modeled economics hold.</t>
  </si>
  <si>
    <t>The model is limited to first-generation diaspora-funded new residential starts. Renovations, restart projects, descendants, domestic remote owners and future payment fees are unquantified expansion.</t>
  </si>
  <si>
    <t>Mixed-year corridor populations and demographic uncertainty make headline numbers approximate; round them in investor materials.</t>
  </si>
  <si>
    <t>All scenarios share one build. Change C3 to Low / Base / High; active assumptions and linked outputs update.</t>
  </si>
  <si>
    <t>TAM stream reconciliation</t>
  </si>
  <si>
    <t>SAM stream reconciliation</t>
  </si>
  <si>
    <t>Coverage / conversion bounds</t>
  </si>
  <si>
    <t>Annual SOM is not extrapolated</t>
  </si>
  <si>
    <t>January cohort target only</t>
  </si>
  <si>
    <t>Upper scenario stress test: implied cohort budgets approach half of recorded remittances. This scenario is not a supported construction-allocation estimate.</t>
  </si>
  <si>
    <t>Cross-check interpretation</t>
  </si>
  <si>
    <t>Investor use</t>
  </si>
  <si>
    <t>Use rounded Base figures as management estimates; cite sources and disclose the principal assumptions. Low/High are sensitivities, not confidence limits.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</si>
</sst>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&quot;$&quot;#,##0"/>
    <numFmt numFmtId="166" formatCode="#,##0.##"/>
    <numFmt numFmtId="167" formatCode="0.0%"/>
    <numFmt numFmtId="168" formatCode="&quot;$&quot;#,##0.00;(&quot;$&quot;#,##0.00)"/>
    <numFmt numFmtId="169" formatCode="0.0"/>
    <numFmt numFmtId="170" formatCode="0.0000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i/>
      <color theme="1"/>
      <name val="Arial"/>
      <scheme val="minor"/>
    </font>
    <font>
      <color rgb="FF0033CC"/>
      <name val="Arial"/>
      <scheme val="minor"/>
    </font>
    <font>
      <sz val="10.0"/>
      <color rgb="FF0033CC"/>
      <name val="Arial"/>
    </font>
    <font>
      <sz val="10.0"/>
      <color rgb="FF000000"/>
      <name val="Arial"/>
    </font>
    <font>
      <u/>
      <sz val="10.0"/>
      <color rgb="FF0000FF"/>
      <name val="Arial"/>
    </font>
    <font>
      <b/>
      <color rgb="FF0033CC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DEDED"/>
        <bgColor rgb="FFEDEDED"/>
      </patternFill>
    </fill>
  </fills>
  <borders count="1">
    <border/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2" numFmtId="9" xfId="0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65" xfId="0" applyAlignment="1" applyFont="1" applyNumberFormat="1">
      <alignment horizontal="right"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9" xfId="0" applyAlignment="1" applyFont="1" applyNumberFormat="1">
      <alignment readingOrder="0"/>
    </xf>
    <xf borderId="0" fillId="2" fontId="3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1" numFmtId="3" xfId="0" applyAlignment="1" applyFont="1" applyNumberFormat="1">
      <alignment readingOrder="0"/>
    </xf>
    <xf borderId="0" fillId="2" fontId="3" numFmtId="0" xfId="0" applyAlignment="1" applyFill="1" applyFont="1">
      <alignment readingOrder="0" shrinkToFit="0" vertical="center" wrapText="1"/>
    </xf>
    <xf borderId="0" fillId="0" fontId="1" numFmtId="165" xfId="0" applyFont="1" applyNumberForma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164" xfId="0" applyAlignment="1" applyFont="1" applyNumberFormat="1">
      <alignment shrinkToFit="0" vertical="center" wrapText="1"/>
    </xf>
    <xf borderId="0" fillId="0" fontId="6" numFmtId="166" xfId="0" applyAlignment="1" applyFont="1" applyNumberFormat="1">
      <alignment shrinkToFit="0" vertical="top" wrapText="1"/>
    </xf>
    <xf borderId="0" fillId="0" fontId="2" numFmtId="3" xfId="0" applyAlignment="1" applyFont="1" applyNumberFormat="1">
      <alignment readingOrder="0"/>
    </xf>
    <xf borderId="0" fillId="0" fontId="4" numFmtId="166" xfId="0" applyAlignment="1" applyFont="1" applyNumberFormat="1">
      <alignment shrinkToFit="0" vertical="top" wrapText="1"/>
    </xf>
    <xf borderId="0" fillId="0" fontId="4" numFmtId="3" xfId="0" applyAlignment="1" applyFont="1" applyNumberFormat="1">
      <alignment shrinkToFit="0" vertical="center" wrapText="1"/>
    </xf>
    <xf borderId="0" fillId="0" fontId="4" numFmtId="167" xfId="0" applyAlignment="1" applyFont="1" applyNumberFormat="1">
      <alignment shrinkToFit="0" vertical="center" wrapText="1"/>
    </xf>
    <xf borderId="0" fillId="0" fontId="4" numFmtId="167" xfId="0" applyAlignment="1" applyFont="1" applyNumberFormat="1">
      <alignment readingOrder="0" shrinkToFit="0" vertical="center" wrapText="1"/>
    </xf>
    <xf borderId="0" fillId="3" fontId="1" numFmtId="0" xfId="0" applyAlignment="1" applyFill="1" applyFont="1">
      <alignment shrinkToFit="0" vertical="top" wrapText="1"/>
    </xf>
    <xf borderId="0" fillId="0" fontId="4" numFmtId="168" xfId="0" applyAlignment="1" applyFont="1" applyNumberForma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3" numFmtId="0" xfId="0" applyAlignment="1" applyFill="1" applyFont="1">
      <alignment readingOrder="0" vertical="center"/>
    </xf>
    <xf borderId="0" fillId="2" fontId="3" numFmtId="168" xfId="0" applyAlignment="1" applyFill="1" applyFont="1" applyNumberFormat="1">
      <alignment readingOrder="0" vertical="center"/>
    </xf>
    <xf borderId="0" fillId="0" fontId="4" numFmtId="165" xfId="0" applyAlignment="1" applyFont="1" applyNumberFormat="1">
      <alignment shrinkToFit="0" vertical="center" wrapText="1"/>
    </xf>
    <xf borderId="0" fillId="0" fontId="7" numFmtId="1" xfId="0" applyAlignment="1" applyFont="1" applyNumberFormat="1">
      <alignment vertical="center"/>
    </xf>
    <xf borderId="0" fillId="0" fontId="4" numFmtId="168" xfId="0" applyAlignment="1" applyFont="1" applyNumberFormat="1">
      <alignment readingOrder="0" vertical="center"/>
    </xf>
    <xf borderId="0" fillId="0" fontId="8" numFmtId="1" xfId="0" applyAlignment="1" applyFont="1" applyNumberFormat="1">
      <alignment readingOrder="0" vertical="center"/>
    </xf>
    <xf borderId="0" fillId="3" fontId="3" numFmtId="168" xfId="0" applyAlignment="1" applyFill="1" applyFont="1" applyNumberFormat="1">
      <alignment shrinkToFit="0" vertical="top" wrapText="1"/>
    </xf>
    <xf borderId="0" fillId="0" fontId="4" numFmtId="3" xfId="0" applyAlignment="1" applyFont="1" applyNumberFormat="1">
      <alignment readingOrder="0" shrinkToFit="0" vertical="center" wrapText="1"/>
    </xf>
    <xf borderId="0" fillId="0" fontId="7" numFmtId="9" xfId="0" applyAlignment="1" applyFont="1" applyNumberFormat="1">
      <alignment readingOrder="0" vertical="center"/>
    </xf>
    <xf borderId="0" fillId="0" fontId="7" numFmtId="168" xfId="0" applyAlignment="1" applyFont="1" applyNumberFormat="1">
      <alignment readingOrder="0" vertical="center"/>
    </xf>
    <xf borderId="0" fillId="0" fontId="7" numFmtId="1" xfId="0" applyAlignment="1" applyFont="1" applyNumberFormat="1">
      <alignment readingOrder="0" vertical="center"/>
    </xf>
    <xf borderId="0" fillId="2" fontId="3" numFmtId="3" xfId="0" applyAlignment="1" applyFill="1" applyFont="1" applyNumberFormat="1">
      <alignment shrinkToFit="0" vertical="center" wrapText="1"/>
    </xf>
    <xf borderId="0" fillId="0" fontId="7" numFmtId="167" xfId="0" applyAlignment="1" applyFont="1" applyNumberFormat="1">
      <alignment readingOrder="0" vertical="center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168" xfId="0" applyAlignment="1" applyFont="1" applyNumberFormat="1">
      <alignment vertical="center"/>
    </xf>
    <xf borderId="0" fillId="2" fontId="3" numFmtId="165" xfId="0" applyAlignment="1" applyFill="1" applyFont="1" applyNumberFormat="1">
      <alignment shrinkToFit="0" vertical="center" wrapText="1"/>
    </xf>
    <xf borderId="0" fillId="2" fontId="3" numFmtId="164" xfId="0" applyAlignment="1" applyFill="1" applyFont="1" applyNumberFormat="1">
      <alignment shrinkToFit="0" vertical="center" wrapText="1"/>
    </xf>
    <xf borderId="0" fillId="2" fontId="3" numFmtId="49" xfId="0" applyAlignment="1" applyFill="1" applyFont="1" applyNumberFormat="1">
      <alignment readingOrder="0" shrinkToFit="0" vertical="center" wrapText="1"/>
    </xf>
    <xf borderId="0" fillId="0" fontId="4" numFmtId="167" xfId="0" applyAlignment="1" applyFont="1" applyNumberFormat="1">
      <alignment vertical="center"/>
    </xf>
    <xf quotePrefix="1" borderId="0" fillId="2" fontId="3" numFmtId="168" xfId="0" applyAlignment="1" applyFill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0" fillId="0" fontId="7" numFmtId="2" xfId="0" applyAlignment="1" applyFont="1" applyNumberFormat="1">
      <alignment readingOrder="0" vertical="center"/>
    </xf>
    <xf borderId="0" fillId="0" fontId="7" numFmtId="2" xfId="0" applyAlignment="1" applyFont="1" applyNumberFormat="1">
      <alignment vertical="center"/>
    </xf>
    <xf borderId="0" fillId="0" fontId="4" numFmtId="169" xfId="0" applyAlignment="1" applyFont="1" applyNumberFormat="1">
      <alignment shrinkToFit="0" vertical="top" wrapText="1"/>
    </xf>
    <xf borderId="0" fillId="0" fontId="7" numFmtId="9" xfId="0" applyAlignment="1" applyFont="1" applyNumberFormat="1">
      <alignment vertical="center"/>
    </xf>
    <xf borderId="0" fillId="0" fontId="7" numFmtId="167" xfId="0" applyAlignment="1" applyFont="1" applyNumberFormat="1">
      <alignment vertical="center"/>
    </xf>
    <xf borderId="0" fillId="0" fontId="4" numFmtId="165" xfId="0" applyAlignment="1" applyFont="1" applyNumberFormat="1">
      <alignment shrinkToFit="0" vertical="top" wrapText="1"/>
    </xf>
    <xf borderId="0" fillId="3" fontId="3" numFmtId="165" xfId="0" applyAlignment="1" applyFill="1" applyFont="1" applyNumberFormat="1">
      <alignment shrinkToFit="0" vertical="top" wrapText="1"/>
    </xf>
    <xf borderId="0" fillId="0" fontId="9" numFmtId="0" xfId="0" applyAlignment="1" applyFont="1">
      <alignment readingOrder="0" shrinkToFit="0" vertical="center" wrapText="1"/>
    </xf>
    <xf borderId="0" fillId="2" fontId="3" numFmtId="168" xfId="0" applyAlignment="1" applyFill="1" applyFont="1" applyNumberFormat="1">
      <alignment vertical="center"/>
    </xf>
    <xf borderId="0" fillId="0" fontId="10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6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6" numFmtId="10" xfId="0" applyAlignment="1" applyFont="1" applyNumberFormat="1">
      <alignment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quotePrefix="1" borderId="0" fillId="0" fontId="6" numFmtId="0" xfId="0" applyAlignment="1" applyFont="1">
      <alignment shrinkToFit="0" vertical="top" wrapText="1"/>
    </xf>
    <xf borderId="0" fillId="0" fontId="4" numFmtId="10" xfId="0" applyAlignment="1" applyFont="1" applyNumberFormat="1">
      <alignment shrinkToFit="0" vertical="top" wrapText="1"/>
    </xf>
    <xf borderId="0" fillId="0" fontId="4" numFmtId="167" xfId="0" applyAlignment="1" applyFont="1" applyNumberFormat="1">
      <alignment shrinkToFit="0" vertical="center" wrapText="1"/>
    </xf>
    <xf borderId="0" fillId="3" fontId="3" numFmtId="10" xfId="0" applyAlignment="1" applyFill="1" applyFont="1" applyNumberForma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7" numFmtId="167" xfId="0" applyAlignment="1" applyFont="1" applyNumberFormat="1">
      <alignment shrinkToFit="0" vertical="center" wrapText="1"/>
    </xf>
    <xf borderId="0" fillId="0" fontId="4" numFmtId="169" xfId="0" applyAlignment="1" applyFont="1" applyNumberFormat="1">
      <alignment shrinkToFit="0" vertical="center" wrapText="1"/>
    </xf>
    <xf borderId="0" fillId="0" fontId="4" numFmtId="168" xfId="0" applyAlignment="1" applyFont="1" applyNumberFormat="1">
      <alignment shrinkToFit="0" vertical="center" wrapText="1"/>
    </xf>
    <xf borderId="0" fillId="0" fontId="7" numFmtId="169" xfId="0" applyAlignment="1" applyFont="1" applyNumberForma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4" numFmtId="168" xfId="0" applyAlignment="1" applyFont="1" applyNumberFormat="1">
      <alignment readingOrder="0" shrinkToFit="0" vertical="center" wrapText="1"/>
    </xf>
    <xf borderId="0" fillId="0" fontId="4" numFmtId="4" xfId="0" applyAlignment="1" applyFont="1" applyNumberFormat="1">
      <alignment shrinkToFit="0" vertical="center" wrapText="1"/>
    </xf>
    <xf quotePrefix="1" borderId="0" fillId="0" fontId="4" numFmtId="0" xfId="0" applyAlignment="1" applyFont="1">
      <alignment shrinkToFit="0" vertical="center" wrapText="1"/>
    </xf>
    <xf borderId="0" fillId="0" fontId="4" numFmtId="170" xfId="0" applyAlignment="1" applyFont="1" applyNumberFormat="1">
      <alignment shrinkToFit="0" vertical="center" wrapText="1"/>
    </xf>
  </cellXfs>
  <cellStyles count="1">
    <cellStyle xfId="0" name="Normal" builtinId="0"/>
  </cellStyles>
  <dxfs count="2">
    <dxf>
      <font>
        <color rgb="FFB20000"/>
      </font>
      <fill>
        <patternFill patternType="solid">
          <fgColor rgb="FFFFD8D8"/>
          <bgColor rgb="FFFFD8D8"/>
        </patternFill>
      </fill>
      <border/>
    </dxf>
    <dxf>
      <font/>
      <fill>
        <patternFill patternType="solid">
          <fgColor rgb="FFFFD8D8"/>
          <bgColor rgb="FFFF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.org/development/desa/pd/sites/www.un.org.development.desa.pd/files/undesa_pd_2025_intlmigstock_2024_key_facts_and_figures_advance-unedited.pdf" TargetMode="External"/><Relationship Id="rId2" Type="http://schemas.openxmlformats.org/officeDocument/2006/relationships/hyperlink" Target="https://diasporafordevelopment.eu/wp-content/uploads/2020/07/CF_Cameroon.pdf" TargetMode="External"/><Relationship Id="rId3" Type="http://schemas.openxmlformats.org/officeDocument/2006/relationships/hyperlink" Target="https://www.migrationpolicy.org/journal/country-profile/ghana-migration-trends" TargetMode="External"/><Relationship Id="rId4" Type="http://schemas.openxmlformats.org/officeDocument/2006/relationships/hyperlink" Target="https://www.migrationpolicy.org/journal/country-profile/nigeria-aims-capitalize-regional-integration-amid-evolving-emigration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17.63"/>
    <col customWidth="1" min="4" max="4" width="23.13"/>
  </cols>
  <sheetData>
    <row r="3">
      <c r="B3" s="3" t="s">
        <v>1</v>
      </c>
      <c r="C3" s="5" t="s">
        <v>3</v>
      </c>
      <c r="D3" s="3" t="s">
        <v>4</v>
      </c>
    </row>
    <row r="4">
      <c r="B4" s="2" t="s">
        <v>6</v>
      </c>
      <c r="C4" s="9">
        <v>80000.0</v>
      </c>
      <c r="D4" s="2" t="s">
        <v>9</v>
      </c>
    </row>
    <row r="5">
      <c r="B5" s="2" t="s">
        <v>10</v>
      </c>
      <c r="C5" s="9">
        <v>45000.0</v>
      </c>
      <c r="D5" s="2" t="s">
        <v>11</v>
      </c>
    </row>
    <row r="6">
      <c r="B6" s="2" t="s">
        <v>12</v>
      </c>
      <c r="C6" s="9">
        <v>30000.0</v>
      </c>
      <c r="D6" s="2" t="s">
        <v>13</v>
      </c>
    </row>
    <row r="7">
      <c r="B7" s="2" t="s">
        <v>14</v>
      </c>
      <c r="C7" s="9">
        <v>30000.0</v>
      </c>
      <c r="D7" s="2" t="s">
        <v>15</v>
      </c>
    </row>
    <row r="8">
      <c r="B8" s="2" t="s">
        <v>16</v>
      </c>
      <c r="C8" s="9">
        <v>25000.0</v>
      </c>
      <c r="D8" s="2" t="s">
        <v>17</v>
      </c>
    </row>
    <row r="9">
      <c r="B9" s="2" t="s">
        <v>18</v>
      </c>
      <c r="C9" s="9">
        <v>15000.0</v>
      </c>
      <c r="D9" s="2" t="s">
        <v>19</v>
      </c>
    </row>
    <row r="10">
      <c r="B10" s="2" t="s">
        <v>20</v>
      </c>
      <c r="C10" s="9">
        <v>75000.0</v>
      </c>
      <c r="D10" s="2" t="s">
        <v>21</v>
      </c>
    </row>
    <row r="11">
      <c r="B11" s="2" t="s">
        <v>22</v>
      </c>
      <c r="C11" s="9">
        <v>300000.0</v>
      </c>
      <c r="D11" s="2" t="s">
        <v>23</v>
      </c>
    </row>
    <row r="15">
      <c r="B15" s="3" t="s">
        <v>24</v>
      </c>
      <c r="C15" s="5" t="s">
        <v>25</v>
      </c>
      <c r="D15" s="3" t="s">
        <v>26</v>
      </c>
    </row>
    <row r="16">
      <c r="B16" s="2" t="s">
        <v>28</v>
      </c>
      <c r="C16" s="9">
        <v>120000.0</v>
      </c>
      <c r="D16" s="2" t="s">
        <v>29</v>
      </c>
    </row>
    <row r="17">
      <c r="B17" s="2" t="s">
        <v>30</v>
      </c>
      <c r="C17" s="9">
        <v>55000.0</v>
      </c>
      <c r="D17" s="2" t="s">
        <v>31</v>
      </c>
    </row>
    <row r="18">
      <c r="B18" s="2" t="s">
        <v>32</v>
      </c>
      <c r="C18" s="9">
        <v>50000.0</v>
      </c>
      <c r="D18" s="2" t="s">
        <v>33</v>
      </c>
    </row>
    <row r="19">
      <c r="B19" s="2" t="s">
        <v>34</v>
      </c>
      <c r="C19" s="9">
        <v>75000.0</v>
      </c>
      <c r="D19" s="2" t="s">
        <v>35</v>
      </c>
    </row>
    <row r="20">
      <c r="B20" s="2" t="s">
        <v>22</v>
      </c>
      <c r="C20" s="9">
        <v>300000.0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4.63"/>
    <col customWidth="1" min="5" max="5" width="18.88"/>
    <col customWidth="1" min="6" max="6" width="21.88"/>
    <col customWidth="1" min="9" max="9" width="19.38"/>
  </cols>
  <sheetData>
    <row r="1">
      <c r="A1" s="1" t="s">
        <v>0</v>
      </c>
    </row>
    <row r="2">
      <c r="A2" s="2" t="s">
        <v>2</v>
      </c>
      <c r="B2" s="4">
        <v>0.015</v>
      </c>
      <c r="I2" s="6"/>
    </row>
    <row r="3">
      <c r="A3" s="2" t="s">
        <v>5</v>
      </c>
      <c r="B3" s="7">
        <v>150000.0</v>
      </c>
      <c r="I3" s="8"/>
    </row>
    <row r="4">
      <c r="A4" s="2" t="s">
        <v>7</v>
      </c>
      <c r="B4" s="2">
        <v>8.0</v>
      </c>
    </row>
    <row r="5">
      <c r="A5" s="2" t="s">
        <v>8</v>
      </c>
      <c r="B5" s="10">
        <f>B3/B4</f>
        <v>18750</v>
      </c>
    </row>
    <row r="6">
      <c r="A6" s="2" t="s">
        <v>27</v>
      </c>
      <c r="B6" s="10">
        <f>B5*B2</f>
        <v>281.25</v>
      </c>
    </row>
    <row r="7">
      <c r="A7" s="2" t="s">
        <v>36</v>
      </c>
      <c r="B7" s="10">
        <f>B6*B4</f>
        <v>2250</v>
      </c>
      <c r="C7" s="11">
        <f>B7*B22</f>
        <v>2250000</v>
      </c>
    </row>
    <row r="9">
      <c r="A9" s="1" t="s">
        <v>37</v>
      </c>
      <c r="E9" s="2" t="s">
        <v>38</v>
      </c>
      <c r="F9" s="12">
        <v>950000.0</v>
      </c>
    </row>
    <row r="10">
      <c r="A10" s="2" t="s">
        <v>39</v>
      </c>
      <c r="B10" s="2" t="s">
        <v>40</v>
      </c>
      <c r="C10" s="7">
        <v>0.85</v>
      </c>
      <c r="E10" s="2" t="s">
        <v>41</v>
      </c>
      <c r="F10" s="2">
        <v>1000.0</v>
      </c>
    </row>
    <row r="11">
      <c r="A11" s="2" t="s">
        <v>42</v>
      </c>
      <c r="B11" s="2">
        <v>10.0</v>
      </c>
      <c r="E11" s="2" t="s">
        <v>43</v>
      </c>
      <c r="F11" s="11">
        <f>F10*B20</f>
        <v>2667500</v>
      </c>
    </row>
    <row r="12">
      <c r="A12" s="2" t="s">
        <v>44</v>
      </c>
      <c r="B12" s="2">
        <v>5.0</v>
      </c>
    </row>
    <row r="13">
      <c r="A13" s="2" t="s">
        <v>45</v>
      </c>
      <c r="B13" s="10">
        <f>C10*B11*B12</f>
        <v>42.5</v>
      </c>
      <c r="C13" s="11">
        <f>B13*B22</f>
        <v>42500</v>
      </c>
    </row>
    <row r="14">
      <c r="E14" s="2" t="s">
        <v>46</v>
      </c>
      <c r="F14" s="12">
        <v>300000.0</v>
      </c>
    </row>
    <row r="15">
      <c r="A15" s="1" t="s">
        <v>47</v>
      </c>
      <c r="E15" s="2" t="s">
        <v>41</v>
      </c>
      <c r="F15" s="2">
        <v>150.0</v>
      </c>
    </row>
    <row r="16">
      <c r="A16" s="13" t="s">
        <v>48</v>
      </c>
      <c r="B16" s="7">
        <f>K28*B3</f>
        <v>7500</v>
      </c>
      <c r="E16" s="2" t="s">
        <v>49</v>
      </c>
      <c r="F16" s="11">
        <f>F15*B20</f>
        <v>400125</v>
      </c>
    </row>
    <row r="17">
      <c r="A17" s="2" t="s">
        <v>51</v>
      </c>
      <c r="B17" s="14">
        <v>0.05</v>
      </c>
    </row>
    <row r="18">
      <c r="A18" s="2" t="s">
        <v>49</v>
      </c>
      <c r="B18" s="10">
        <f>B16*B17</f>
        <v>375</v>
      </c>
      <c r="C18" s="11">
        <f>B18*B22</f>
        <v>375000</v>
      </c>
    </row>
    <row r="20">
      <c r="A20" s="2" t="s">
        <v>53</v>
      </c>
      <c r="B20" s="10">
        <f>B7+B13+B18</f>
        <v>2667.5</v>
      </c>
    </row>
    <row r="22">
      <c r="A22" s="1" t="s">
        <v>55</v>
      </c>
      <c r="B22" s="17">
        <v>1000.0</v>
      </c>
    </row>
    <row r="23">
      <c r="A23" s="1" t="s">
        <v>58</v>
      </c>
      <c r="B23" s="19">
        <f>B22*B20</f>
        <v>2667500</v>
      </c>
    </row>
    <row r="25">
      <c r="A25" s="1" t="s">
        <v>59</v>
      </c>
    </row>
    <row r="26">
      <c r="A26" s="20" t="s">
        <v>60</v>
      </c>
      <c r="B26" s="11">
        <f>(B27/B28)*B29*B20</f>
        <v>551283333.3</v>
      </c>
    </row>
    <row r="27">
      <c r="A27" s="2" t="s">
        <v>66</v>
      </c>
      <c r="B27" s="2">
        <v>3.1E7</v>
      </c>
      <c r="F27" s="1" t="s">
        <v>67</v>
      </c>
    </row>
    <row r="28">
      <c r="A28" s="2" t="s">
        <v>68</v>
      </c>
      <c r="B28" s="2">
        <v>1.5</v>
      </c>
      <c r="C28" s="2" t="s">
        <v>69</v>
      </c>
      <c r="F28" s="2" t="s">
        <v>70</v>
      </c>
      <c r="K28" s="14">
        <v>0.05</v>
      </c>
    </row>
    <row r="29">
      <c r="A29" s="2" t="s">
        <v>72</v>
      </c>
      <c r="B29" s="14">
        <v>0.01</v>
      </c>
      <c r="C29" s="2" t="s">
        <v>69</v>
      </c>
      <c r="F29" s="2" t="s">
        <v>73</v>
      </c>
    </row>
    <row r="30">
      <c r="F30" s="2" t="s">
        <v>74</v>
      </c>
    </row>
    <row r="31">
      <c r="A31" s="20" t="s">
        <v>75</v>
      </c>
      <c r="B31" s="11">
        <f>(B32/B33)*B34*B20</f>
        <v>7113333.333</v>
      </c>
      <c r="F31" s="2" t="s">
        <v>90</v>
      </c>
    </row>
    <row r="32">
      <c r="A32" s="2" t="s">
        <v>66</v>
      </c>
      <c r="B32" s="26">
        <v>400000.0</v>
      </c>
      <c r="F32" s="2" t="s">
        <v>91</v>
      </c>
    </row>
    <row r="33">
      <c r="A33" s="2" t="s">
        <v>68</v>
      </c>
      <c r="B33" s="2">
        <v>1.5</v>
      </c>
      <c r="F33" s="2" t="s">
        <v>92</v>
      </c>
    </row>
    <row r="34">
      <c r="A34" s="2" t="s">
        <v>72</v>
      </c>
      <c r="B34" s="14">
        <v>0.01</v>
      </c>
      <c r="F34" s="2" t="s">
        <v>94</v>
      </c>
    </row>
    <row r="36">
      <c r="A36" s="20" t="s">
        <v>95</v>
      </c>
      <c r="B36" s="10">
        <f>B37*B20</f>
        <v>2667500</v>
      </c>
    </row>
    <row r="37">
      <c r="A37" s="2" t="s">
        <v>97</v>
      </c>
      <c r="B37" s="2">
        <v>1000.0</v>
      </c>
    </row>
    <row r="38">
      <c r="A38" s="20" t="s">
        <v>99</v>
      </c>
      <c r="B38" s="7">
        <f>B39*B20</f>
        <v>400125</v>
      </c>
    </row>
    <row r="39">
      <c r="A39" s="2" t="s">
        <v>97</v>
      </c>
      <c r="B39" s="2">
        <v>150.0</v>
      </c>
    </row>
    <row r="52">
      <c r="D52" s="2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7.63"/>
    <col customWidth="1" min="2" max="8" width="19.5"/>
  </cols>
  <sheetData>
    <row r="1">
      <c r="A1" s="15" t="s">
        <v>50</v>
      </c>
    </row>
    <row r="2">
      <c r="A2" s="16" t="s">
        <v>52</v>
      </c>
    </row>
    <row r="3">
      <c r="A3" s="16" t="s">
        <v>54</v>
      </c>
      <c r="B3" s="16" t="s">
        <v>54</v>
      </c>
      <c r="C3" s="16" t="s">
        <v>54</v>
      </c>
      <c r="D3" s="16" t="s">
        <v>54</v>
      </c>
      <c r="E3" s="16" t="s">
        <v>54</v>
      </c>
      <c r="F3" s="16" t="s">
        <v>54</v>
      </c>
      <c r="G3" s="16" t="s">
        <v>54</v>
      </c>
      <c r="H3" s="16" t="s">
        <v>54</v>
      </c>
    </row>
    <row r="4">
      <c r="A4" s="15" t="s">
        <v>57</v>
      </c>
      <c r="C4" s="15" t="s">
        <v>62</v>
      </c>
      <c r="D4" s="15" t="s">
        <v>54</v>
      </c>
      <c r="E4" s="15" t="s">
        <v>63</v>
      </c>
    </row>
    <row r="5">
      <c r="A5" s="16" t="s">
        <v>65</v>
      </c>
      <c r="C5" s="24">
        <f>C36</f>
        <v>551283333.3</v>
      </c>
      <c r="D5" s="16" t="s">
        <v>54</v>
      </c>
      <c r="E5" s="16" t="s">
        <v>88</v>
      </c>
    </row>
    <row r="6">
      <c r="A6" s="16" t="s">
        <v>89</v>
      </c>
      <c r="C6" s="24">
        <f>C35*C31</f>
        <v>400520000</v>
      </c>
      <c r="D6" s="16" t="s">
        <v>54</v>
      </c>
      <c r="E6" s="16" t="s">
        <v>96</v>
      </c>
    </row>
    <row r="7">
      <c r="A7" s="16" t="s">
        <v>98</v>
      </c>
      <c r="C7" s="24">
        <f>H41</f>
        <v>4608728.667</v>
      </c>
      <c r="D7" s="16" t="s">
        <v>54</v>
      </c>
      <c r="E7" s="16" t="s">
        <v>100</v>
      </c>
    </row>
    <row r="8">
      <c r="A8" s="16" t="s">
        <v>102</v>
      </c>
      <c r="C8" s="24">
        <f>H44</f>
        <v>18052928.67</v>
      </c>
      <c r="D8" s="16" t="s">
        <v>54</v>
      </c>
      <c r="E8" s="16" t="s">
        <v>107</v>
      </c>
    </row>
    <row r="9">
      <c r="A9" s="16" t="s">
        <v>108</v>
      </c>
      <c r="C9" s="28">
        <f t="shared" ref="C9:C10" si="1">E51</f>
        <v>150</v>
      </c>
      <c r="D9" s="16" t="s">
        <v>54</v>
      </c>
      <c r="E9" s="16" t="s">
        <v>110</v>
      </c>
    </row>
    <row r="10">
      <c r="A10" s="16" t="s">
        <v>111</v>
      </c>
      <c r="C10" s="28">
        <f t="shared" si="1"/>
        <v>1000</v>
      </c>
      <c r="D10" s="16" t="s">
        <v>54</v>
      </c>
      <c r="E10" s="16" t="s">
        <v>113</v>
      </c>
    </row>
    <row r="11">
      <c r="A11" s="16" t="s">
        <v>114</v>
      </c>
      <c r="C11" s="24">
        <f>G53</f>
        <v>1938000</v>
      </c>
      <c r="D11" s="16" t="s">
        <v>54</v>
      </c>
      <c r="E11" s="16" t="s">
        <v>116</v>
      </c>
    </row>
    <row r="12">
      <c r="A12" s="16" t="s">
        <v>117</v>
      </c>
      <c r="C12" s="24">
        <f>H53</f>
        <v>2667500</v>
      </c>
      <c r="D12" s="16" t="s">
        <v>54</v>
      </c>
      <c r="E12" s="16" t="s">
        <v>122</v>
      </c>
    </row>
    <row r="13">
      <c r="A13" s="16" t="s">
        <v>54</v>
      </c>
      <c r="B13" s="16" t="s">
        <v>54</v>
      </c>
      <c r="C13" s="16" t="s">
        <v>54</v>
      </c>
      <c r="D13" s="16" t="s">
        <v>54</v>
      </c>
      <c r="E13" s="16" t="s">
        <v>54</v>
      </c>
      <c r="F13" s="16" t="s">
        <v>54</v>
      </c>
      <c r="G13" s="16" t="s">
        <v>54</v>
      </c>
      <c r="H13" s="16" t="s">
        <v>54</v>
      </c>
    </row>
    <row r="14">
      <c r="A14" s="15" t="s">
        <v>125</v>
      </c>
      <c r="C14" s="15" t="s">
        <v>127</v>
      </c>
      <c r="D14" s="15" t="s">
        <v>54</v>
      </c>
      <c r="E14" s="15" t="s">
        <v>128</v>
      </c>
    </row>
    <row r="15">
      <c r="A15" s="16" t="s">
        <v>129</v>
      </c>
    </row>
    <row r="16">
      <c r="A16" s="16" t="s">
        <v>54</v>
      </c>
      <c r="B16" s="16" t="s">
        <v>54</v>
      </c>
      <c r="C16" s="16" t="s">
        <v>54</v>
      </c>
      <c r="D16" s="16" t="s">
        <v>54</v>
      </c>
      <c r="E16" s="16" t="s">
        <v>54</v>
      </c>
      <c r="F16" s="16" t="s">
        <v>54</v>
      </c>
      <c r="G16" s="16" t="s">
        <v>54</v>
      </c>
      <c r="H16" s="16" t="s">
        <v>54</v>
      </c>
    </row>
    <row r="17">
      <c r="A17" s="16" t="s">
        <v>137</v>
      </c>
      <c r="C17" s="28">
        <f>'Market Size'!C15</f>
        <v>31000000</v>
      </c>
      <c r="D17" s="16" t="s">
        <v>54</v>
      </c>
      <c r="E17" s="16" t="s">
        <v>144</v>
      </c>
    </row>
    <row r="18">
      <c r="A18" s="16" t="s">
        <v>145</v>
      </c>
      <c r="C18" s="16">
        <v>1.5</v>
      </c>
      <c r="D18" s="16" t="s">
        <v>54</v>
      </c>
      <c r="E18" s="16" t="s">
        <v>146</v>
      </c>
    </row>
    <row r="19">
      <c r="A19" s="16" t="s">
        <v>147</v>
      </c>
      <c r="C19" s="29">
        <v>0.01</v>
      </c>
      <c r="D19" s="16" t="s">
        <v>54</v>
      </c>
      <c r="E19" s="16" t="s">
        <v>150</v>
      </c>
    </row>
    <row r="20">
      <c r="A20" s="16" t="s">
        <v>152</v>
      </c>
      <c r="C20" s="16">
        <v>7.0</v>
      </c>
      <c r="D20" s="16" t="s">
        <v>54</v>
      </c>
      <c r="E20" s="16" t="s">
        <v>154</v>
      </c>
    </row>
    <row r="21">
      <c r="A21" s="16" t="s">
        <v>54</v>
      </c>
      <c r="B21" s="16" t="s">
        <v>54</v>
      </c>
      <c r="C21" s="16" t="s">
        <v>54</v>
      </c>
      <c r="D21" s="16" t="s">
        <v>54</v>
      </c>
      <c r="E21" s="16" t="s">
        <v>54</v>
      </c>
      <c r="F21" s="16" t="s">
        <v>54</v>
      </c>
      <c r="G21" s="16" t="s">
        <v>54</v>
      </c>
      <c r="H21" s="16" t="s">
        <v>54</v>
      </c>
    </row>
    <row r="22">
      <c r="A22" s="16" t="s">
        <v>157</v>
      </c>
      <c r="C22" s="24">
        <f>'Revenue Model'!B3</f>
        <v>150000</v>
      </c>
      <c r="D22" s="16" t="s">
        <v>54</v>
      </c>
      <c r="E22" s="16" t="s">
        <v>162</v>
      </c>
    </row>
    <row r="23">
      <c r="A23" s="16" t="s">
        <v>164</v>
      </c>
      <c r="C23" s="24">
        <f>'Revenue Model'!B3</f>
        <v>150000</v>
      </c>
      <c r="D23" s="16" t="s">
        <v>54</v>
      </c>
      <c r="E23" s="16" t="s">
        <v>168</v>
      </c>
    </row>
    <row r="24">
      <c r="A24" s="16" t="s">
        <v>169</v>
      </c>
      <c r="C24" s="29">
        <v>0.75</v>
      </c>
      <c r="D24" s="16" t="s">
        <v>54</v>
      </c>
      <c r="E24" s="16" t="s">
        <v>172</v>
      </c>
    </row>
    <row r="25">
      <c r="A25" s="16" t="s">
        <v>174</v>
      </c>
      <c r="C25" s="29">
        <v>0.6</v>
      </c>
      <c r="D25" s="16" t="s">
        <v>54</v>
      </c>
      <c r="E25" s="16" t="s">
        <v>172</v>
      </c>
    </row>
    <row r="26">
      <c r="A26" s="16" t="s">
        <v>178</v>
      </c>
      <c r="C26" s="29">
        <v>0.6</v>
      </c>
      <c r="D26" s="16" t="s">
        <v>54</v>
      </c>
      <c r="E26" s="16" t="s">
        <v>172</v>
      </c>
    </row>
    <row r="27">
      <c r="A27" s="16" t="s">
        <v>179</v>
      </c>
      <c r="C27" s="29">
        <f>'Revenue Model'!B2</f>
        <v>0.015</v>
      </c>
      <c r="D27" s="16" t="s">
        <v>54</v>
      </c>
      <c r="E27" s="16" t="s">
        <v>183</v>
      </c>
    </row>
    <row r="28">
      <c r="A28" s="16" t="s">
        <v>185</v>
      </c>
      <c r="C28" s="24">
        <f>'Revenue Model'!B13</f>
        <v>42.5</v>
      </c>
      <c r="D28" s="16" t="s">
        <v>54</v>
      </c>
      <c r="E28" s="16" t="s">
        <v>189</v>
      </c>
    </row>
    <row r="29">
      <c r="A29" s="16" t="s">
        <v>191</v>
      </c>
      <c r="C29" s="29">
        <f>'Revenue Model'!K28</f>
        <v>0.05</v>
      </c>
      <c r="D29" s="16" t="s">
        <v>54</v>
      </c>
      <c r="E29" s="16" t="s">
        <v>194</v>
      </c>
    </row>
    <row r="30">
      <c r="A30" s="16" t="s">
        <v>196</v>
      </c>
      <c r="C30" s="29">
        <f>'Revenue Model'!B17</f>
        <v>0.05</v>
      </c>
      <c r="D30" s="16" t="s">
        <v>54</v>
      </c>
      <c r="E30" s="16" t="s">
        <v>201</v>
      </c>
    </row>
    <row r="31">
      <c r="A31" s="16" t="s">
        <v>202</v>
      </c>
      <c r="C31" s="24">
        <f>C22*C27*C24+C28*C25+C22*C29*C30*C26</f>
        <v>1938</v>
      </c>
      <c r="D31" s="16" t="s">
        <v>54</v>
      </c>
      <c r="E31" s="16" t="s">
        <v>216</v>
      </c>
    </row>
    <row r="32">
      <c r="A32" s="16" t="s">
        <v>221</v>
      </c>
      <c r="C32" s="24">
        <f>C23*C27*C24+C28*C25+C23*C29*C30*C26</f>
        <v>1938</v>
      </c>
      <c r="D32" s="16" t="s">
        <v>54</v>
      </c>
      <c r="E32" s="16" t="s">
        <v>235</v>
      </c>
    </row>
    <row r="33">
      <c r="A33" s="16" t="s">
        <v>237</v>
      </c>
      <c r="C33" s="24">
        <f>'Revenue Model'!B20</f>
        <v>2667.5</v>
      </c>
      <c r="D33" s="16" t="s">
        <v>54</v>
      </c>
      <c r="E33" s="16" t="s">
        <v>248</v>
      </c>
    </row>
    <row r="34">
      <c r="A34" s="16" t="s">
        <v>54</v>
      </c>
      <c r="B34" s="16" t="s">
        <v>54</v>
      </c>
      <c r="C34" s="16" t="s">
        <v>54</v>
      </c>
      <c r="D34" s="16" t="s">
        <v>54</v>
      </c>
      <c r="E34" s="16" t="s">
        <v>54</v>
      </c>
      <c r="F34" s="16" t="s">
        <v>54</v>
      </c>
      <c r="G34" s="16" t="s">
        <v>54</v>
      </c>
      <c r="H34" s="16" t="s">
        <v>54</v>
      </c>
    </row>
    <row r="35">
      <c r="A35" s="16" t="s">
        <v>257</v>
      </c>
      <c r="C35" s="28">
        <f>C17/C18*C19</f>
        <v>206666.6667</v>
      </c>
      <c r="D35" s="16" t="s">
        <v>54</v>
      </c>
      <c r="E35" s="16" t="s">
        <v>54</v>
      </c>
    </row>
    <row r="36">
      <c r="A36" s="16" t="s">
        <v>263</v>
      </c>
      <c r="C36" s="24">
        <f>C35*C33</f>
        <v>551283333.3</v>
      </c>
      <c r="D36" s="16" t="s">
        <v>54</v>
      </c>
      <c r="E36" s="16" t="s">
        <v>54</v>
      </c>
    </row>
    <row r="37">
      <c r="A37" s="16" t="s">
        <v>266</v>
      </c>
      <c r="C37" s="24">
        <f>'Revenue Model'!B26</f>
        <v>551283333.3</v>
      </c>
      <c r="D37" s="16" t="s">
        <v>54</v>
      </c>
      <c r="E37" s="16" t="s">
        <v>54</v>
      </c>
    </row>
    <row r="38">
      <c r="A38" s="16" t="s">
        <v>269</v>
      </c>
    </row>
    <row r="39">
      <c r="A39" s="16" t="s">
        <v>54</v>
      </c>
      <c r="B39" s="16" t="s">
        <v>54</v>
      </c>
      <c r="C39" s="16" t="s">
        <v>54</v>
      </c>
      <c r="D39" s="16" t="s">
        <v>54</v>
      </c>
      <c r="E39" s="16" t="s">
        <v>54</v>
      </c>
      <c r="F39" s="16" t="s">
        <v>54</v>
      </c>
      <c r="G39" s="16" t="s">
        <v>54</v>
      </c>
      <c r="H39" s="16" t="s">
        <v>54</v>
      </c>
    </row>
    <row r="40">
      <c r="A40" s="15" t="s">
        <v>270</v>
      </c>
      <c r="B40" s="15" t="s">
        <v>271</v>
      </c>
      <c r="C40" s="15" t="s">
        <v>272</v>
      </c>
      <c r="D40" s="15" t="s">
        <v>273</v>
      </c>
      <c r="E40" s="15" t="s">
        <v>274</v>
      </c>
      <c r="F40" s="15" t="s">
        <v>275</v>
      </c>
      <c r="G40" s="15" t="s">
        <v>276</v>
      </c>
      <c r="H40" s="15" t="s">
        <v>277</v>
      </c>
    </row>
    <row r="41">
      <c r="A41" s="16" t="s">
        <v>278</v>
      </c>
      <c r="B41" s="28">
        <v>98000.0</v>
      </c>
      <c r="C41" s="28">
        <f>'Market Size'!C19</f>
        <v>127520</v>
      </c>
      <c r="D41" s="28">
        <v>33640.0</v>
      </c>
      <c r="E41" s="28">
        <f>SUM(B41:D41)</f>
        <v>259160</v>
      </c>
      <c r="F41" s="28">
        <f t="shared" ref="F41:F43" si="2">E41/$C$18*$C$19</f>
        <v>1727.733333</v>
      </c>
      <c r="G41" s="36">
        <f t="shared" ref="G41:G44" si="3">$C$33</f>
        <v>2667.5</v>
      </c>
      <c r="H41" s="36">
        <f t="shared" ref="H41:H43" si="4">F41*G41</f>
        <v>4608728.667</v>
      </c>
    </row>
    <row r="42">
      <c r="A42" s="16" t="s">
        <v>288</v>
      </c>
      <c r="B42" s="28">
        <v>223000.0</v>
      </c>
      <c r="C42" s="28" t="s">
        <v>54</v>
      </c>
      <c r="D42" s="28" t="s">
        <v>54</v>
      </c>
      <c r="E42" s="28">
        <f t="shared" ref="E42:E43" si="5">B42</f>
        <v>223000</v>
      </c>
      <c r="F42" s="28">
        <f t="shared" si="2"/>
        <v>1486.666667</v>
      </c>
      <c r="G42" s="36">
        <f t="shared" si="3"/>
        <v>2667.5</v>
      </c>
      <c r="H42" s="36">
        <f t="shared" si="4"/>
        <v>3965683.333</v>
      </c>
    </row>
    <row r="43">
      <c r="A43" s="16" t="s">
        <v>300</v>
      </c>
      <c r="B43" s="28">
        <v>533000.0</v>
      </c>
      <c r="C43" s="28" t="s">
        <v>54</v>
      </c>
      <c r="D43" s="28" t="s">
        <v>54</v>
      </c>
      <c r="E43" s="28">
        <f t="shared" si="5"/>
        <v>533000</v>
      </c>
      <c r="F43" s="28">
        <f t="shared" si="2"/>
        <v>3553.333333</v>
      </c>
      <c r="G43" s="36">
        <f t="shared" si="3"/>
        <v>2667.5</v>
      </c>
      <c r="H43" s="36">
        <f t="shared" si="4"/>
        <v>9478516.667</v>
      </c>
    </row>
    <row r="44">
      <c r="A44" s="15" t="s">
        <v>305</v>
      </c>
      <c r="B44" s="45">
        <f>SUM(B41:B43)</f>
        <v>854000</v>
      </c>
      <c r="C44" s="45">
        <f t="shared" ref="C44:D44" si="6">C41</f>
        <v>127520</v>
      </c>
      <c r="D44" s="45">
        <f t="shared" si="6"/>
        <v>33640</v>
      </c>
      <c r="E44" s="45">
        <f t="shared" ref="E44:F44" si="7">SUM(E41:E43)</f>
        <v>1015160</v>
      </c>
      <c r="F44" s="45">
        <f t="shared" si="7"/>
        <v>6767.733333</v>
      </c>
      <c r="G44" s="49">
        <f t="shared" si="3"/>
        <v>2667.5</v>
      </c>
      <c r="H44" s="49">
        <f>SUM(H41:H43)</f>
        <v>18052928.67</v>
      </c>
    </row>
    <row r="45">
      <c r="A45" s="16" t="s">
        <v>320</v>
      </c>
    </row>
    <row r="46">
      <c r="A46" s="16" t="s">
        <v>321</v>
      </c>
    </row>
    <row r="47">
      <c r="A47" s="16" t="s">
        <v>54</v>
      </c>
      <c r="B47" s="16" t="s">
        <v>54</v>
      </c>
      <c r="C47" s="16" t="s">
        <v>54</v>
      </c>
      <c r="D47" s="16" t="s">
        <v>54</v>
      </c>
      <c r="E47" s="16" t="s">
        <v>54</v>
      </c>
      <c r="F47" s="16" t="s">
        <v>54</v>
      </c>
      <c r="G47" s="16" t="s">
        <v>54</v>
      </c>
      <c r="H47" s="16" t="s">
        <v>54</v>
      </c>
    </row>
    <row r="48">
      <c r="A48" s="16" t="s">
        <v>54</v>
      </c>
      <c r="B48" s="16" t="s">
        <v>54</v>
      </c>
      <c r="C48" s="16" t="s">
        <v>54</v>
      </c>
      <c r="D48" s="16" t="s">
        <v>54</v>
      </c>
      <c r="E48" s="16" t="s">
        <v>54</v>
      </c>
      <c r="F48" s="16" t="s">
        <v>54</v>
      </c>
      <c r="G48" s="16" t="s">
        <v>54</v>
      </c>
      <c r="H48" s="16" t="s">
        <v>54</v>
      </c>
    </row>
    <row r="49">
      <c r="A49" s="15" t="s">
        <v>326</v>
      </c>
      <c r="B49" s="15" t="s">
        <v>327</v>
      </c>
      <c r="C49" s="15" t="s">
        <v>329</v>
      </c>
      <c r="D49" s="15" t="s">
        <v>330</v>
      </c>
      <c r="E49" s="15" t="s">
        <v>331</v>
      </c>
      <c r="F49" s="15" t="s">
        <v>332</v>
      </c>
      <c r="G49" s="15" t="s">
        <v>333</v>
      </c>
      <c r="H49" s="15" t="s">
        <v>334</v>
      </c>
    </row>
    <row r="50">
      <c r="A50" s="16" t="s">
        <v>54</v>
      </c>
      <c r="B50" s="16" t="s">
        <v>54</v>
      </c>
      <c r="C50" s="16" t="s">
        <v>54</v>
      </c>
      <c r="D50" s="16" t="s">
        <v>54</v>
      </c>
      <c r="E50" s="16" t="s">
        <v>54</v>
      </c>
      <c r="F50" s="16" t="s">
        <v>54</v>
      </c>
      <c r="G50" s="16" t="s">
        <v>54</v>
      </c>
      <c r="H50" s="16" t="s">
        <v>54</v>
      </c>
    </row>
    <row r="51">
      <c r="A51" s="16" t="s">
        <v>338</v>
      </c>
      <c r="B51" s="16" t="s">
        <v>120</v>
      </c>
      <c r="C51" s="36">
        <f>'Revenue Model'!F14</f>
        <v>300000</v>
      </c>
      <c r="D51" s="28">
        <f>'Revenue Model'!F15</f>
        <v>150</v>
      </c>
      <c r="E51" s="28">
        <f>D51</f>
        <v>150</v>
      </c>
      <c r="F51" s="16" t="s">
        <v>278</v>
      </c>
      <c r="G51" s="36">
        <f t="shared" ref="G51:G52" si="8">D51*$C$32</f>
        <v>290700</v>
      </c>
      <c r="H51" s="36">
        <f t="shared" ref="H51:H52" si="9">D51*$C$33</f>
        <v>400125</v>
      </c>
    </row>
    <row r="52">
      <c r="A52" s="16" t="s">
        <v>346</v>
      </c>
      <c r="B52" s="16" t="s">
        <v>123</v>
      </c>
      <c r="C52" s="36">
        <f>'Revenue Model'!F9-C51</f>
        <v>650000</v>
      </c>
      <c r="D52" s="28">
        <f>'Revenue Model'!F10-D51</f>
        <v>850</v>
      </c>
      <c r="E52" s="28">
        <f>SUM(D51:D52)</f>
        <v>1000</v>
      </c>
      <c r="F52" s="16" t="s">
        <v>361</v>
      </c>
      <c r="G52" s="36">
        <f t="shared" si="8"/>
        <v>1647300</v>
      </c>
      <c r="H52" s="36">
        <f t="shared" si="9"/>
        <v>2267375</v>
      </c>
    </row>
    <row r="53">
      <c r="A53" s="15" t="s">
        <v>364</v>
      </c>
      <c r="B53" s="15" t="s">
        <v>365</v>
      </c>
      <c r="C53" s="49">
        <f t="shared" ref="C53:D53" si="10">SUM(C51:C52)</f>
        <v>950000</v>
      </c>
      <c r="D53" s="45">
        <f t="shared" si="10"/>
        <v>1000</v>
      </c>
      <c r="E53" s="45">
        <f>E52</f>
        <v>1000</v>
      </c>
      <c r="F53" s="15" t="s">
        <v>368</v>
      </c>
      <c r="G53" s="49">
        <f t="shared" ref="G53:H53" si="11">SUM(G51:G52)</f>
        <v>1938000</v>
      </c>
      <c r="H53" s="49">
        <f t="shared" si="11"/>
        <v>2667500</v>
      </c>
    </row>
    <row r="54">
      <c r="A54" s="16" t="s">
        <v>369</v>
      </c>
    </row>
    <row r="55">
      <c r="A55" s="16" t="s">
        <v>54</v>
      </c>
      <c r="B55" s="16" t="s">
        <v>54</v>
      </c>
      <c r="C55" s="16" t="s">
        <v>54</v>
      </c>
      <c r="D55" s="16" t="s">
        <v>54</v>
      </c>
      <c r="E55" s="16" t="s">
        <v>54</v>
      </c>
      <c r="F55" s="16" t="s">
        <v>54</v>
      </c>
      <c r="G55" s="16" t="s">
        <v>54</v>
      </c>
      <c r="H55" s="16" t="s">
        <v>54</v>
      </c>
    </row>
    <row r="56">
      <c r="A56" s="16" t="s">
        <v>372</v>
      </c>
      <c r="C56" s="29">
        <f>D51/F41</f>
        <v>0.08681895354</v>
      </c>
      <c r="D56" s="16" t="s">
        <v>54</v>
      </c>
      <c r="E56" s="16" t="s">
        <v>374</v>
      </c>
    </row>
    <row r="57">
      <c r="A57" s="16" t="s">
        <v>377</v>
      </c>
      <c r="C57" s="29">
        <f>D52/SUM(F42:F43)</f>
        <v>0.1686507937</v>
      </c>
      <c r="D57" s="16" t="s">
        <v>54</v>
      </c>
      <c r="E57" s="16" t="s">
        <v>379</v>
      </c>
    </row>
    <row r="58">
      <c r="A58" s="16" t="s">
        <v>380</v>
      </c>
      <c r="C58" s="29">
        <f>D53/F44</f>
        <v>0.147759959</v>
      </c>
      <c r="D58" s="16" t="s">
        <v>54</v>
      </c>
      <c r="E58" s="16" t="s">
        <v>384</v>
      </c>
    </row>
    <row r="59">
      <c r="A59" s="16" t="s">
        <v>386</v>
      </c>
      <c r="C59" s="24">
        <f t="shared" ref="C59:C61" si="12">C51/D51</f>
        <v>2000</v>
      </c>
      <c r="D59" s="16" t="s">
        <v>54</v>
      </c>
      <c r="E59" s="16" t="s">
        <v>392</v>
      </c>
    </row>
    <row r="60">
      <c r="A60" s="16" t="s">
        <v>393</v>
      </c>
      <c r="C60" s="24">
        <f t="shared" si="12"/>
        <v>764.7058824</v>
      </c>
      <c r="D60" s="16" t="s">
        <v>54</v>
      </c>
      <c r="E60" s="16" t="s">
        <v>394</v>
      </c>
    </row>
    <row r="61">
      <c r="A61" s="16" t="s">
        <v>396</v>
      </c>
      <c r="C61" s="24">
        <f t="shared" si="12"/>
        <v>950</v>
      </c>
      <c r="D61" s="16" t="s">
        <v>54</v>
      </c>
      <c r="E61" s="16" t="s">
        <v>398</v>
      </c>
    </row>
    <row r="62">
      <c r="A62" s="16" t="s">
        <v>54</v>
      </c>
      <c r="B62" s="16" t="s">
        <v>54</v>
      </c>
      <c r="C62" s="16" t="s">
        <v>54</v>
      </c>
      <c r="D62" s="16" t="s">
        <v>54</v>
      </c>
      <c r="E62" s="16" t="s">
        <v>54</v>
      </c>
      <c r="F62" s="16" t="s">
        <v>54</v>
      </c>
      <c r="G62" s="16" t="s">
        <v>54</v>
      </c>
      <c r="H62" s="16" t="s">
        <v>54</v>
      </c>
    </row>
    <row r="63">
      <c r="A63" s="16" t="s">
        <v>54</v>
      </c>
      <c r="B63" s="16" t="s">
        <v>54</v>
      </c>
      <c r="C63" s="16" t="s">
        <v>54</v>
      </c>
      <c r="D63" s="16" t="s">
        <v>54</v>
      </c>
      <c r="E63" s="16" t="s">
        <v>54</v>
      </c>
      <c r="F63" s="16" t="s">
        <v>54</v>
      </c>
      <c r="G63" s="16" t="s">
        <v>54</v>
      </c>
      <c r="H63" s="16" t="s">
        <v>54</v>
      </c>
    </row>
    <row r="64">
      <c r="A64" s="15" t="s">
        <v>401</v>
      </c>
    </row>
    <row r="65">
      <c r="A65" s="21" t="s">
        <v>402</v>
      </c>
    </row>
    <row r="66">
      <c r="A66" s="21" t="s">
        <v>403</v>
      </c>
    </row>
    <row r="67">
      <c r="A67" s="16" t="s">
        <v>404</v>
      </c>
    </row>
    <row r="68">
      <c r="A68" s="21" t="s">
        <v>405</v>
      </c>
    </row>
    <row r="69">
      <c r="A69" s="16" t="s">
        <v>54</v>
      </c>
      <c r="B69" s="16" t="s">
        <v>54</v>
      </c>
      <c r="C69" s="16" t="s">
        <v>54</v>
      </c>
      <c r="D69" s="16" t="s">
        <v>54</v>
      </c>
      <c r="E69" s="16" t="s">
        <v>54</v>
      </c>
      <c r="F69" s="16" t="s">
        <v>54</v>
      </c>
      <c r="G69" s="16" t="s">
        <v>54</v>
      </c>
      <c r="H69" s="16" t="s">
        <v>54</v>
      </c>
    </row>
    <row r="70">
      <c r="A70" s="15" t="s">
        <v>407</v>
      </c>
    </row>
    <row r="71">
      <c r="A71" s="16" t="s">
        <v>408</v>
      </c>
    </row>
    <row r="72">
      <c r="A72" s="16" t="s">
        <v>409</v>
      </c>
    </row>
    <row r="73">
      <c r="A73" s="16" t="s">
        <v>410</v>
      </c>
    </row>
    <row r="74">
      <c r="A74" s="16" t="s">
        <v>412</v>
      </c>
    </row>
    <row r="75">
      <c r="A75" s="16" t="s">
        <v>413</v>
      </c>
    </row>
    <row r="76">
      <c r="A76" s="16" t="s">
        <v>414</v>
      </c>
    </row>
    <row r="77">
      <c r="A77" s="16" t="s">
        <v>54</v>
      </c>
      <c r="B77" s="16" t="s">
        <v>54</v>
      </c>
      <c r="C77" s="16" t="s">
        <v>54</v>
      </c>
      <c r="D77" s="16" t="s">
        <v>54</v>
      </c>
      <c r="E77" s="16" t="s">
        <v>54</v>
      </c>
      <c r="F77" s="16" t="s">
        <v>54</v>
      </c>
      <c r="G77" s="16" t="s">
        <v>54</v>
      </c>
      <c r="H77" s="16" t="s">
        <v>54</v>
      </c>
    </row>
    <row r="78">
      <c r="A78" s="15" t="s">
        <v>417</v>
      </c>
      <c r="B78" s="15" t="s">
        <v>419</v>
      </c>
      <c r="C78" s="15" t="s">
        <v>420</v>
      </c>
      <c r="E78" s="15" t="s">
        <v>421</v>
      </c>
    </row>
    <row r="79">
      <c r="A79" s="16" t="s">
        <v>422</v>
      </c>
      <c r="B79" s="16" t="s">
        <v>423</v>
      </c>
      <c r="C79" s="16" t="s">
        <v>425</v>
      </c>
      <c r="E79" s="16" t="s">
        <v>428</v>
      </c>
    </row>
    <row r="80">
      <c r="A80" s="16" t="s">
        <v>429</v>
      </c>
      <c r="B80" s="16" t="s">
        <v>430</v>
      </c>
      <c r="C80" s="16" t="s">
        <v>431</v>
      </c>
      <c r="E80" s="16" t="s">
        <v>432</v>
      </c>
    </row>
    <row r="81">
      <c r="A81" s="16" t="s">
        <v>433</v>
      </c>
      <c r="B81" s="16" t="s">
        <v>435</v>
      </c>
      <c r="C81" s="16" t="s">
        <v>436</v>
      </c>
      <c r="E81" s="16" t="s">
        <v>437</v>
      </c>
    </row>
    <row r="82">
      <c r="A82" s="16" t="s">
        <v>438</v>
      </c>
      <c r="B82" s="16" t="s">
        <v>439</v>
      </c>
      <c r="C82" s="16" t="s">
        <v>440</v>
      </c>
      <c r="E82" s="16" t="s">
        <v>441</v>
      </c>
    </row>
    <row r="83">
      <c r="A83" s="16" t="s">
        <v>443</v>
      </c>
      <c r="B83" s="16" t="s">
        <v>444</v>
      </c>
      <c r="C83" s="16" t="s">
        <v>445</v>
      </c>
      <c r="E83" s="16" t="s">
        <v>447</v>
      </c>
    </row>
    <row r="84">
      <c r="A84" s="16" t="s">
        <v>448</v>
      </c>
    </row>
    <row r="85">
      <c r="A85" s="16" t="s">
        <v>54</v>
      </c>
      <c r="B85" s="16" t="s">
        <v>54</v>
      </c>
      <c r="C85" s="16" t="s">
        <v>54</v>
      </c>
      <c r="D85" s="16" t="s">
        <v>54</v>
      </c>
      <c r="E85" s="16" t="s">
        <v>54</v>
      </c>
      <c r="F85" s="16" t="s">
        <v>54</v>
      </c>
      <c r="G85" s="16" t="s">
        <v>54</v>
      </c>
      <c r="H85" s="16" t="s">
        <v>54</v>
      </c>
    </row>
    <row r="86">
      <c r="A86" s="15" t="s">
        <v>450</v>
      </c>
      <c r="C86" s="15" t="s">
        <v>453</v>
      </c>
      <c r="D86" s="15" t="s">
        <v>54</v>
      </c>
      <c r="E86" s="15" t="s">
        <v>54</v>
      </c>
    </row>
    <row r="87">
      <c r="A87" s="16" t="s">
        <v>456</v>
      </c>
      <c r="C87" s="36">
        <f>SUM(C51:C52)-'Revenue Model'!F9</f>
        <v>0</v>
      </c>
      <c r="D87" s="16" t="s">
        <v>54</v>
      </c>
      <c r="E87" s="16" t="s">
        <v>54</v>
      </c>
    </row>
    <row r="88">
      <c r="A88" s="16" t="s">
        <v>469</v>
      </c>
      <c r="C88" s="28">
        <f>SUM(D51:D52)-'Revenue Model'!F10</f>
        <v>0</v>
      </c>
      <c r="D88" s="16" t="s">
        <v>54</v>
      </c>
      <c r="E88" s="16" t="s">
        <v>54</v>
      </c>
    </row>
    <row r="89">
      <c r="A89" s="16" t="s">
        <v>475</v>
      </c>
      <c r="C89" s="36">
        <f>ROUND(H44-F44*C33,6)</f>
        <v>0</v>
      </c>
      <c r="D89" s="16" t="s">
        <v>54</v>
      </c>
      <c r="E89" s="16" t="s">
        <v>54</v>
      </c>
    </row>
    <row r="90">
      <c r="A90" s="16" t="s">
        <v>478</v>
      </c>
      <c r="C90" s="16" t="s">
        <v>479</v>
      </c>
      <c r="D90" s="16" t="s">
        <v>54</v>
      </c>
      <c r="E90" s="16" t="s">
        <v>481</v>
      </c>
    </row>
    <row r="91">
      <c r="A91" s="16" t="s">
        <v>483</v>
      </c>
      <c r="C91" s="16" t="s">
        <v>485</v>
      </c>
      <c r="D91" s="16" t="s">
        <v>54</v>
      </c>
      <c r="E91" s="16" t="s">
        <v>487</v>
      </c>
    </row>
    <row r="92">
      <c r="A92" s="16" t="s">
        <v>488</v>
      </c>
    </row>
    <row r="93">
      <c r="A93" s="16" t="s">
        <v>489</v>
      </c>
    </row>
    <row r="94">
      <c r="A94" s="16" t="s">
        <v>490</v>
      </c>
    </row>
    <row r="95">
      <c r="A95" s="16" t="s">
        <v>491</v>
      </c>
    </row>
    <row r="96">
      <c r="A96" s="16" t="s">
        <v>54</v>
      </c>
      <c r="B96" s="16" t="s">
        <v>54</v>
      </c>
      <c r="C96" s="16" t="s">
        <v>54</v>
      </c>
      <c r="D96" s="16" t="s">
        <v>54</v>
      </c>
      <c r="E96" s="16" t="s">
        <v>54</v>
      </c>
      <c r="F96" s="16" t="s">
        <v>54</v>
      </c>
      <c r="G96" s="16" t="s">
        <v>54</v>
      </c>
      <c r="H96" s="16" t="s">
        <v>54</v>
      </c>
    </row>
  </sheetData>
  <mergeCells count="118">
    <mergeCell ref="E31:H31"/>
    <mergeCell ref="E32:H32"/>
    <mergeCell ref="E24:H24"/>
    <mergeCell ref="E25:H25"/>
    <mergeCell ref="E26:H26"/>
    <mergeCell ref="E27:H27"/>
    <mergeCell ref="E28:H28"/>
    <mergeCell ref="E29:H29"/>
    <mergeCell ref="E30:H30"/>
    <mergeCell ref="A35:B35"/>
    <mergeCell ref="A36:B36"/>
    <mergeCell ref="A37:B37"/>
    <mergeCell ref="A31:B31"/>
    <mergeCell ref="A32:B32"/>
    <mergeCell ref="A33:B33"/>
    <mergeCell ref="E33:H33"/>
    <mergeCell ref="E35:H35"/>
    <mergeCell ref="E36:H36"/>
    <mergeCell ref="E37:H37"/>
    <mergeCell ref="E58:H58"/>
    <mergeCell ref="E59:H59"/>
    <mergeCell ref="A38:H38"/>
    <mergeCell ref="A45:H45"/>
    <mergeCell ref="A46:H46"/>
    <mergeCell ref="A54:H54"/>
    <mergeCell ref="A56:B56"/>
    <mergeCell ref="E56:H56"/>
    <mergeCell ref="E57:H57"/>
    <mergeCell ref="A64:H64"/>
    <mergeCell ref="A65:H65"/>
    <mergeCell ref="A66:H66"/>
    <mergeCell ref="A67:H67"/>
    <mergeCell ref="A68:H68"/>
    <mergeCell ref="A70:H70"/>
    <mergeCell ref="A71:H71"/>
    <mergeCell ref="A72:H72"/>
    <mergeCell ref="A73:H73"/>
    <mergeCell ref="A74:H74"/>
    <mergeCell ref="A75:H75"/>
    <mergeCell ref="A76:H76"/>
    <mergeCell ref="C78:D78"/>
    <mergeCell ref="E78:H78"/>
    <mergeCell ref="C82:D82"/>
    <mergeCell ref="C83:D83"/>
    <mergeCell ref="C79:D79"/>
    <mergeCell ref="E79:H79"/>
    <mergeCell ref="C80:D80"/>
    <mergeCell ref="E80:H80"/>
    <mergeCell ref="C81:D81"/>
    <mergeCell ref="E81:H81"/>
    <mergeCell ref="E82:H82"/>
    <mergeCell ref="A88:B88"/>
    <mergeCell ref="A89:B89"/>
    <mergeCell ref="A90:B90"/>
    <mergeCell ref="A91:B91"/>
    <mergeCell ref="E89:H89"/>
    <mergeCell ref="E90:H90"/>
    <mergeCell ref="E91:H91"/>
    <mergeCell ref="A92:H92"/>
    <mergeCell ref="A93:H93"/>
    <mergeCell ref="A94:H94"/>
    <mergeCell ref="A95:H95"/>
    <mergeCell ref="E83:H83"/>
    <mergeCell ref="A84:H84"/>
    <mergeCell ref="A86:B86"/>
    <mergeCell ref="E86:H86"/>
    <mergeCell ref="A87:B87"/>
    <mergeCell ref="E87:H87"/>
    <mergeCell ref="E88:H88"/>
    <mergeCell ref="A1:H1"/>
    <mergeCell ref="A2:H2"/>
    <mergeCell ref="A4:B4"/>
    <mergeCell ref="E4:H4"/>
    <mergeCell ref="A5:B5"/>
    <mergeCell ref="E5:H5"/>
    <mergeCell ref="E6:H6"/>
    <mergeCell ref="A6:B6"/>
    <mergeCell ref="A7:B7"/>
    <mergeCell ref="A8:B8"/>
    <mergeCell ref="A9:B9"/>
    <mergeCell ref="A10:B10"/>
    <mergeCell ref="A11:B11"/>
    <mergeCell ref="A12:B12"/>
    <mergeCell ref="E7:H7"/>
    <mergeCell ref="E8:H8"/>
    <mergeCell ref="E9:H9"/>
    <mergeCell ref="E10:H10"/>
    <mergeCell ref="E11:H11"/>
    <mergeCell ref="E12:H12"/>
    <mergeCell ref="A15:H15"/>
    <mergeCell ref="A14:B14"/>
    <mergeCell ref="A17:B17"/>
    <mergeCell ref="A18:B18"/>
    <mergeCell ref="A19:B19"/>
    <mergeCell ref="A20:B20"/>
    <mergeCell ref="A22:B22"/>
    <mergeCell ref="A23:B23"/>
    <mergeCell ref="E14:H14"/>
    <mergeCell ref="E17:H17"/>
    <mergeCell ref="E18:H18"/>
    <mergeCell ref="E19:H19"/>
    <mergeCell ref="E20:H20"/>
    <mergeCell ref="E22:H22"/>
    <mergeCell ref="E23:H23"/>
    <mergeCell ref="A24:B24"/>
    <mergeCell ref="A25:B25"/>
    <mergeCell ref="A26:B26"/>
    <mergeCell ref="A27:B27"/>
    <mergeCell ref="A28:B28"/>
    <mergeCell ref="A29:B29"/>
    <mergeCell ref="A30:B30"/>
    <mergeCell ref="A57:B57"/>
    <mergeCell ref="A58:B58"/>
    <mergeCell ref="A59:B59"/>
    <mergeCell ref="A60:B60"/>
    <mergeCell ref="E60:H60"/>
    <mergeCell ref="A61:B61"/>
    <mergeCell ref="E61:H6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7.63"/>
    <col customWidth="1" min="2" max="8" width="19.5"/>
  </cols>
  <sheetData>
    <row r="1">
      <c r="A1" s="18" t="s">
        <v>56</v>
      </c>
    </row>
    <row r="2">
      <c r="A2" s="21" t="s">
        <v>61</v>
      </c>
    </row>
    <row r="3">
      <c r="A3" s="21" t="s">
        <v>54</v>
      </c>
      <c r="B3" s="21" t="s">
        <v>54</v>
      </c>
      <c r="C3" s="21" t="s">
        <v>54</v>
      </c>
      <c r="D3" s="21" t="s">
        <v>54</v>
      </c>
      <c r="E3" s="21" t="s">
        <v>54</v>
      </c>
      <c r="F3" s="21" t="s">
        <v>54</v>
      </c>
      <c r="G3" s="21" t="s">
        <v>54</v>
      </c>
      <c r="H3" s="21" t="s">
        <v>54</v>
      </c>
    </row>
    <row r="4">
      <c r="A4" s="18" t="s">
        <v>57</v>
      </c>
      <c r="C4" s="18" t="s">
        <v>62</v>
      </c>
      <c r="D4" s="18" t="s">
        <v>54</v>
      </c>
      <c r="E4" s="18" t="s">
        <v>63</v>
      </c>
    </row>
    <row r="5">
      <c r="A5" s="21" t="s">
        <v>65</v>
      </c>
      <c r="C5" s="24">
        <f>C36</f>
        <v>551283333.3</v>
      </c>
      <c r="D5" s="21" t="s">
        <v>54</v>
      </c>
      <c r="E5" s="21" t="s">
        <v>88</v>
      </c>
    </row>
    <row r="6">
      <c r="A6" s="21" t="s">
        <v>89</v>
      </c>
      <c r="C6" s="24">
        <f>C35*C31</f>
        <v>400520000</v>
      </c>
      <c r="D6" s="21" t="s">
        <v>54</v>
      </c>
      <c r="E6" s="21" t="s">
        <v>96</v>
      </c>
    </row>
    <row r="7">
      <c r="A7" s="21" t="s">
        <v>98</v>
      </c>
      <c r="C7" s="24">
        <f>G41</f>
        <v>7285422.65</v>
      </c>
      <c r="D7" s="21" t="s">
        <v>54</v>
      </c>
      <c r="E7" s="21" t="s">
        <v>115</v>
      </c>
    </row>
    <row r="8">
      <c r="A8" s="21" t="s">
        <v>102</v>
      </c>
      <c r="C8" s="24">
        <f>G44</f>
        <v>63285139.32</v>
      </c>
      <c r="D8" s="21" t="s">
        <v>54</v>
      </c>
      <c r="E8" s="21" t="s">
        <v>126</v>
      </c>
    </row>
    <row r="9">
      <c r="A9" s="21" t="s">
        <v>108</v>
      </c>
      <c r="C9" s="28">
        <f t="shared" ref="C9:C10" si="1">E51</f>
        <v>150</v>
      </c>
      <c r="D9" s="21" t="s">
        <v>54</v>
      </c>
      <c r="E9" s="21" t="s">
        <v>110</v>
      </c>
    </row>
    <row r="10">
      <c r="A10" s="21" t="s">
        <v>111</v>
      </c>
      <c r="C10" s="28">
        <f t="shared" si="1"/>
        <v>2000</v>
      </c>
      <c r="D10" s="21" t="s">
        <v>54</v>
      </c>
      <c r="E10" s="21" t="s">
        <v>140</v>
      </c>
    </row>
    <row r="11">
      <c r="A11" s="21" t="s">
        <v>114</v>
      </c>
      <c r="C11" s="24">
        <f>G53</f>
        <v>3876000</v>
      </c>
      <c r="D11" s="21" t="s">
        <v>54</v>
      </c>
      <c r="E11" s="21" t="s">
        <v>116</v>
      </c>
    </row>
    <row r="12">
      <c r="A12" s="21" t="s">
        <v>117</v>
      </c>
      <c r="C12" s="24">
        <f>H53</f>
        <v>5335000</v>
      </c>
      <c r="D12" s="21" t="s">
        <v>54</v>
      </c>
      <c r="E12" s="21" t="s">
        <v>122</v>
      </c>
    </row>
    <row r="13">
      <c r="A13" s="21" t="s">
        <v>54</v>
      </c>
      <c r="B13" s="21" t="s">
        <v>54</v>
      </c>
      <c r="C13" s="21" t="s">
        <v>54</v>
      </c>
      <c r="D13" s="21" t="s">
        <v>54</v>
      </c>
      <c r="E13" s="21" t="s">
        <v>54</v>
      </c>
      <c r="F13" s="21" t="s">
        <v>54</v>
      </c>
      <c r="G13" s="21" t="s">
        <v>54</v>
      </c>
      <c r="H13" s="21" t="s">
        <v>54</v>
      </c>
    </row>
    <row r="14">
      <c r="A14" s="18" t="s">
        <v>125</v>
      </c>
      <c r="C14" s="18" t="s">
        <v>127</v>
      </c>
      <c r="D14" s="18" t="s">
        <v>54</v>
      </c>
      <c r="E14" s="18" t="s">
        <v>128</v>
      </c>
    </row>
    <row r="15">
      <c r="A15" s="21" t="s">
        <v>129</v>
      </c>
    </row>
    <row r="16">
      <c r="A16" s="21" t="s">
        <v>173</v>
      </c>
      <c r="C16" s="21">
        <v>2000.0</v>
      </c>
      <c r="D16" s="21" t="s">
        <v>54</v>
      </c>
      <c r="E16" s="21" t="s">
        <v>175</v>
      </c>
    </row>
    <row r="17">
      <c r="A17" s="21" t="s">
        <v>137</v>
      </c>
      <c r="C17" s="28">
        <f>'Market Size'!C15</f>
        <v>31000000</v>
      </c>
      <c r="D17" s="21" t="s">
        <v>54</v>
      </c>
      <c r="E17" s="21" t="s">
        <v>144</v>
      </c>
    </row>
    <row r="18">
      <c r="A18" s="21" t="s">
        <v>145</v>
      </c>
      <c r="C18" s="21">
        <v>1.5</v>
      </c>
      <c r="D18" s="21" t="s">
        <v>54</v>
      </c>
      <c r="E18" s="21" t="s">
        <v>146</v>
      </c>
    </row>
    <row r="19">
      <c r="A19" s="21" t="s">
        <v>147</v>
      </c>
      <c r="C19" s="30">
        <v>0.01</v>
      </c>
      <c r="D19" s="21" t="s">
        <v>54</v>
      </c>
      <c r="E19" s="21" t="s">
        <v>150</v>
      </c>
    </row>
    <row r="20">
      <c r="A20" s="21" t="s">
        <v>152</v>
      </c>
      <c r="C20" s="21">
        <v>7.0</v>
      </c>
      <c r="D20" s="21" t="s">
        <v>54</v>
      </c>
      <c r="E20" s="21" t="s">
        <v>154</v>
      </c>
    </row>
    <row r="21">
      <c r="A21" s="21" t="s">
        <v>54</v>
      </c>
      <c r="B21" s="21" t="s">
        <v>54</v>
      </c>
      <c r="C21" s="21" t="s">
        <v>54</v>
      </c>
      <c r="D21" s="21" t="s">
        <v>54</v>
      </c>
      <c r="E21" s="21" t="s">
        <v>54</v>
      </c>
      <c r="F21" s="21" t="s">
        <v>54</v>
      </c>
      <c r="G21" s="21" t="s">
        <v>54</v>
      </c>
      <c r="H21" s="21" t="s">
        <v>54</v>
      </c>
    </row>
    <row r="22">
      <c r="A22" s="21" t="s">
        <v>157</v>
      </c>
      <c r="C22" s="24">
        <f>'Revenue Model'!B3</f>
        <v>150000</v>
      </c>
      <c r="D22" s="21" t="s">
        <v>54</v>
      </c>
      <c r="E22" s="21" t="s">
        <v>162</v>
      </c>
    </row>
    <row r="23">
      <c r="A23" s="21" t="s">
        <v>164</v>
      </c>
      <c r="C23" s="24">
        <f>'Revenue Model'!B3</f>
        <v>150000</v>
      </c>
      <c r="D23" s="21" t="s">
        <v>54</v>
      </c>
      <c r="E23" s="21" t="s">
        <v>211</v>
      </c>
    </row>
    <row r="24">
      <c r="A24" s="21" t="s">
        <v>169</v>
      </c>
      <c r="C24" s="30">
        <v>0.75</v>
      </c>
      <c r="D24" s="21" t="s">
        <v>54</v>
      </c>
      <c r="E24" s="21" t="s">
        <v>172</v>
      </c>
    </row>
    <row r="25">
      <c r="A25" s="21" t="s">
        <v>174</v>
      </c>
      <c r="C25" s="30">
        <v>0.6</v>
      </c>
      <c r="D25" s="21" t="s">
        <v>54</v>
      </c>
      <c r="E25" s="21" t="s">
        <v>172</v>
      </c>
    </row>
    <row r="26">
      <c r="A26" s="21" t="s">
        <v>178</v>
      </c>
      <c r="C26" s="30">
        <v>0.6</v>
      </c>
      <c r="D26" s="21" t="s">
        <v>54</v>
      </c>
      <c r="E26" s="21" t="s">
        <v>172</v>
      </c>
    </row>
    <row r="27">
      <c r="A27" s="21" t="s">
        <v>179</v>
      </c>
      <c r="C27" s="29">
        <f>'Revenue Model'!B2</f>
        <v>0.015</v>
      </c>
      <c r="D27" s="21" t="s">
        <v>54</v>
      </c>
      <c r="E27" s="21" t="s">
        <v>183</v>
      </c>
    </row>
    <row r="28">
      <c r="A28" s="21" t="s">
        <v>185</v>
      </c>
      <c r="C28" s="24">
        <f>'Revenue Model'!B13</f>
        <v>42.5</v>
      </c>
      <c r="D28" s="21" t="s">
        <v>54</v>
      </c>
      <c r="E28" s="21" t="s">
        <v>189</v>
      </c>
    </row>
    <row r="29">
      <c r="A29" s="21" t="s">
        <v>191</v>
      </c>
      <c r="C29" s="29">
        <f>'Revenue Model'!K28</f>
        <v>0.05</v>
      </c>
      <c r="D29" s="21" t="s">
        <v>54</v>
      </c>
      <c r="E29" s="21" t="s">
        <v>194</v>
      </c>
    </row>
    <row r="30">
      <c r="A30" s="21" t="s">
        <v>196</v>
      </c>
      <c r="C30" s="29">
        <f>'Revenue Model'!B17</f>
        <v>0.05</v>
      </c>
      <c r="D30" s="21" t="s">
        <v>54</v>
      </c>
      <c r="E30" s="21" t="s">
        <v>201</v>
      </c>
    </row>
    <row r="31">
      <c r="A31" s="21" t="s">
        <v>202</v>
      </c>
      <c r="C31" s="24">
        <f>C22*C27*C24+C28*C25+C22*C29*C30*C26</f>
        <v>1938</v>
      </c>
      <c r="D31" s="21" t="s">
        <v>54</v>
      </c>
      <c r="E31" s="21" t="s">
        <v>216</v>
      </c>
    </row>
    <row r="32">
      <c r="A32" s="21" t="s">
        <v>221</v>
      </c>
      <c r="C32" s="24">
        <f>C23*C27*C24+C28*C25+C23*C29*C30*C26</f>
        <v>1938</v>
      </c>
      <c r="D32" s="21" t="s">
        <v>54</v>
      </c>
      <c r="E32" s="21" t="s">
        <v>235</v>
      </c>
    </row>
    <row r="33">
      <c r="A33" s="21" t="s">
        <v>237</v>
      </c>
      <c r="C33" s="24">
        <f>'Revenue Model'!B20</f>
        <v>2667.5</v>
      </c>
      <c r="D33" s="21" t="s">
        <v>54</v>
      </c>
      <c r="E33" s="21" t="s">
        <v>248</v>
      </c>
    </row>
    <row r="34">
      <c r="A34" s="21" t="s">
        <v>54</v>
      </c>
      <c r="B34" s="21" t="s">
        <v>54</v>
      </c>
      <c r="C34" s="21" t="s">
        <v>54</v>
      </c>
      <c r="D34" s="21" t="s">
        <v>54</v>
      </c>
      <c r="E34" s="21" t="s">
        <v>54</v>
      </c>
      <c r="F34" s="21" t="s">
        <v>54</v>
      </c>
      <c r="G34" s="21" t="s">
        <v>54</v>
      </c>
      <c r="H34" s="21" t="s">
        <v>54</v>
      </c>
    </row>
    <row r="35">
      <c r="A35" s="21" t="s">
        <v>257</v>
      </c>
      <c r="C35" s="28">
        <f>C17/C18*C19</f>
        <v>206666.6667</v>
      </c>
      <c r="D35" s="21" t="s">
        <v>54</v>
      </c>
      <c r="E35" s="21" t="s">
        <v>54</v>
      </c>
    </row>
    <row r="36">
      <c r="A36" s="21" t="s">
        <v>263</v>
      </c>
      <c r="C36" s="24">
        <f>C35*C33</f>
        <v>551283333.3</v>
      </c>
      <c r="D36" s="21" t="s">
        <v>54</v>
      </c>
      <c r="E36" s="21" t="s">
        <v>54</v>
      </c>
    </row>
    <row r="37">
      <c r="A37" s="21" t="s">
        <v>266</v>
      </c>
      <c r="C37" s="24">
        <f>'Revenue Model'!B26</f>
        <v>551283333.3</v>
      </c>
      <c r="D37" s="21" t="s">
        <v>54</v>
      </c>
      <c r="E37" s="21" t="s">
        <v>54</v>
      </c>
    </row>
    <row r="38">
      <c r="A38" s="21" t="s">
        <v>269</v>
      </c>
    </row>
    <row r="39">
      <c r="A39" s="21" t="s">
        <v>54</v>
      </c>
      <c r="B39" s="21" t="s">
        <v>54</v>
      </c>
      <c r="C39" s="21" t="s">
        <v>54</v>
      </c>
      <c r="D39" s="21" t="s">
        <v>54</v>
      </c>
      <c r="E39" s="21" t="s">
        <v>54</v>
      </c>
      <c r="F39" s="21" t="s">
        <v>54</v>
      </c>
      <c r="G39" s="21" t="s">
        <v>54</v>
      </c>
      <c r="H39" s="21" t="s">
        <v>54</v>
      </c>
    </row>
    <row r="40">
      <c r="A40" s="18" t="s">
        <v>270</v>
      </c>
      <c r="B40" s="18" t="s">
        <v>291</v>
      </c>
      <c r="C40" s="18" t="s">
        <v>293</v>
      </c>
      <c r="D40" s="18" t="s">
        <v>275</v>
      </c>
      <c r="E40" s="18" t="s">
        <v>295</v>
      </c>
      <c r="F40" s="18" t="s">
        <v>296</v>
      </c>
      <c r="G40" s="18" t="s">
        <v>277</v>
      </c>
      <c r="H40" s="18" t="s">
        <v>298</v>
      </c>
    </row>
    <row r="41">
      <c r="A41" s="21" t="s">
        <v>278</v>
      </c>
      <c r="B41" s="41">
        <v>409677.0</v>
      </c>
      <c r="C41" s="28">
        <f t="shared" ref="C41:C43" si="2">B41/$C$18</f>
        <v>273118</v>
      </c>
      <c r="D41" s="28">
        <f t="shared" ref="D41:D43" si="3">C41*$C$19</f>
        <v>2731.18</v>
      </c>
      <c r="E41" s="24">
        <f t="shared" ref="E41:E44" si="4">$C$23</f>
        <v>150000</v>
      </c>
      <c r="F41" s="24">
        <f t="shared" ref="F41:F44" si="5">$C$33</f>
        <v>2667.5</v>
      </c>
      <c r="G41" s="24">
        <f t="shared" ref="G41:G43" si="6">D41*F41</f>
        <v>7285422.65</v>
      </c>
      <c r="H41" s="47" t="s">
        <v>313</v>
      </c>
    </row>
    <row r="42">
      <c r="A42" s="21" t="s">
        <v>288</v>
      </c>
      <c r="B42" s="41">
        <v>1055000.0</v>
      </c>
      <c r="C42" s="28">
        <f t="shared" si="2"/>
        <v>703333.3333</v>
      </c>
      <c r="D42" s="28">
        <f t="shared" si="3"/>
        <v>7033.333333</v>
      </c>
      <c r="E42" s="24">
        <f t="shared" si="4"/>
        <v>150000</v>
      </c>
      <c r="F42" s="24">
        <f t="shared" si="5"/>
        <v>2667.5</v>
      </c>
      <c r="G42" s="24">
        <f t="shared" si="6"/>
        <v>18761416.67</v>
      </c>
      <c r="H42" s="47" t="s">
        <v>319</v>
      </c>
    </row>
    <row r="43">
      <c r="A43" s="21" t="s">
        <v>300</v>
      </c>
      <c r="B43" s="41">
        <v>2094000.0</v>
      </c>
      <c r="C43" s="28">
        <f t="shared" si="2"/>
        <v>1396000</v>
      </c>
      <c r="D43" s="28">
        <f t="shared" si="3"/>
        <v>13960</v>
      </c>
      <c r="E43" s="24">
        <f t="shared" si="4"/>
        <v>150000</v>
      </c>
      <c r="F43" s="24">
        <f t="shared" si="5"/>
        <v>2667.5</v>
      </c>
      <c r="G43" s="24">
        <f t="shared" si="6"/>
        <v>37238300</v>
      </c>
      <c r="H43" s="47" t="s">
        <v>323</v>
      </c>
    </row>
    <row r="44">
      <c r="A44" s="18" t="s">
        <v>305</v>
      </c>
      <c r="B44" s="45">
        <f t="shared" ref="B44:D44" si="7">SUM(B41:B43)</f>
        <v>3558677</v>
      </c>
      <c r="C44" s="45">
        <f t="shared" si="7"/>
        <v>2372451.333</v>
      </c>
      <c r="D44" s="45">
        <f t="shared" si="7"/>
        <v>23724.51333</v>
      </c>
      <c r="E44" s="50">
        <f t="shared" si="4"/>
        <v>150000</v>
      </c>
      <c r="F44" s="50">
        <f t="shared" si="5"/>
        <v>2667.5</v>
      </c>
      <c r="G44" s="50">
        <f>SUM(G41:G43)</f>
        <v>63285139.32</v>
      </c>
      <c r="H44" s="51" t="s">
        <v>339</v>
      </c>
    </row>
    <row r="45">
      <c r="A45" s="21" t="s">
        <v>340</v>
      </c>
    </row>
    <row r="46">
      <c r="A46" s="21" t="s">
        <v>341</v>
      </c>
    </row>
    <row r="47">
      <c r="A47" s="21" t="s">
        <v>54</v>
      </c>
      <c r="B47" s="21" t="s">
        <v>54</v>
      </c>
      <c r="C47" s="21" t="s">
        <v>54</v>
      </c>
      <c r="D47" s="21" t="s">
        <v>54</v>
      </c>
      <c r="E47" s="21" t="s">
        <v>54</v>
      </c>
      <c r="F47" s="21" t="s">
        <v>54</v>
      </c>
      <c r="G47" s="21" t="s">
        <v>54</v>
      </c>
      <c r="H47" s="21" t="s">
        <v>54</v>
      </c>
    </row>
    <row r="48">
      <c r="A48" s="21" t="s">
        <v>54</v>
      </c>
      <c r="B48" s="21" t="s">
        <v>54</v>
      </c>
      <c r="C48" s="21" t="s">
        <v>54</v>
      </c>
      <c r="D48" s="21" t="s">
        <v>54</v>
      </c>
      <c r="E48" s="21" t="s">
        <v>54</v>
      </c>
      <c r="F48" s="21" t="s">
        <v>54</v>
      </c>
      <c r="G48" s="21" t="s">
        <v>54</v>
      </c>
      <c r="H48" s="21" t="s">
        <v>54</v>
      </c>
    </row>
    <row r="49">
      <c r="A49" s="18" t="s">
        <v>326</v>
      </c>
      <c r="B49" s="18" t="s">
        <v>327</v>
      </c>
      <c r="C49" s="18" t="s">
        <v>329</v>
      </c>
      <c r="D49" s="18" t="s">
        <v>330</v>
      </c>
      <c r="E49" s="18" t="s">
        <v>331</v>
      </c>
      <c r="F49" s="18" t="s">
        <v>332</v>
      </c>
      <c r="G49" s="18" t="s">
        <v>333</v>
      </c>
      <c r="H49" s="18" t="s">
        <v>334</v>
      </c>
    </row>
    <row r="50">
      <c r="A50" s="21" t="s">
        <v>54</v>
      </c>
      <c r="B50" s="21" t="s">
        <v>54</v>
      </c>
      <c r="C50" s="21" t="s">
        <v>54</v>
      </c>
      <c r="D50" s="21" t="s">
        <v>54</v>
      </c>
      <c r="E50" s="21" t="s">
        <v>54</v>
      </c>
      <c r="F50" s="21" t="s">
        <v>54</v>
      </c>
      <c r="G50" s="21" t="s">
        <v>54</v>
      </c>
      <c r="H50" s="21" t="s">
        <v>54</v>
      </c>
    </row>
    <row r="51">
      <c r="A51" s="21" t="s">
        <v>338</v>
      </c>
      <c r="B51" s="21" t="s">
        <v>120</v>
      </c>
      <c r="C51" s="36">
        <f>'Revenue Model'!F14</f>
        <v>300000</v>
      </c>
      <c r="D51" s="28">
        <f>'Revenue Model'!F15</f>
        <v>150</v>
      </c>
      <c r="E51" s="28">
        <f>D51</f>
        <v>150</v>
      </c>
      <c r="F51" s="21" t="s">
        <v>278</v>
      </c>
      <c r="G51" s="36">
        <f t="shared" ref="G51:G52" si="8">D51*$C$32</f>
        <v>290700</v>
      </c>
      <c r="H51" s="36">
        <f t="shared" ref="H51:H52" si="9">D51*$C$33</f>
        <v>400125</v>
      </c>
    </row>
    <row r="52">
      <c r="A52" s="21" t="s">
        <v>346</v>
      </c>
      <c r="B52" s="21" t="s">
        <v>123</v>
      </c>
      <c r="C52" s="36">
        <f>'Revenue Model'!F9-C51</f>
        <v>650000</v>
      </c>
      <c r="D52" s="28">
        <f>$C$16-D51</f>
        <v>1850</v>
      </c>
      <c r="E52" s="28">
        <f>SUM(D51:D52)</f>
        <v>2000</v>
      </c>
      <c r="F52" s="21" t="s">
        <v>361</v>
      </c>
      <c r="G52" s="36">
        <f t="shared" si="8"/>
        <v>3585300</v>
      </c>
      <c r="H52" s="36">
        <f t="shared" si="9"/>
        <v>4934875</v>
      </c>
    </row>
    <row r="53">
      <c r="A53" s="18" t="s">
        <v>364</v>
      </c>
      <c r="B53" s="18" t="s">
        <v>365</v>
      </c>
      <c r="C53" s="49">
        <f t="shared" ref="C53:D53" si="10">SUM(C51:C52)</f>
        <v>950000</v>
      </c>
      <c r="D53" s="45">
        <f t="shared" si="10"/>
        <v>2000</v>
      </c>
      <c r="E53" s="45">
        <f>E52</f>
        <v>2000</v>
      </c>
      <c r="F53" s="18" t="s">
        <v>368</v>
      </c>
      <c r="G53" s="49">
        <f t="shared" ref="G53:H53" si="11">SUM(G51:G52)</f>
        <v>3876000</v>
      </c>
      <c r="H53" s="49">
        <f t="shared" si="11"/>
        <v>5335000</v>
      </c>
    </row>
    <row r="54">
      <c r="A54" s="21" t="s">
        <v>378</v>
      </c>
    </row>
    <row r="55">
      <c r="A55" s="21" t="s">
        <v>54</v>
      </c>
      <c r="B55" s="21" t="s">
        <v>54</v>
      </c>
      <c r="C55" s="21" t="s">
        <v>54</v>
      </c>
      <c r="D55" s="21" t="s">
        <v>54</v>
      </c>
      <c r="E55" s="21" t="s">
        <v>54</v>
      </c>
      <c r="F55" s="21" t="s">
        <v>54</v>
      </c>
      <c r="G55" s="21" t="s">
        <v>54</v>
      </c>
      <c r="H55" s="21" t="s">
        <v>54</v>
      </c>
    </row>
    <row r="56">
      <c r="A56" s="21" t="s">
        <v>372</v>
      </c>
      <c r="C56" s="29">
        <f>D51/D41</f>
        <v>0.05492131606</v>
      </c>
      <c r="D56" s="21" t="s">
        <v>54</v>
      </c>
      <c r="E56" s="21" t="s">
        <v>381</v>
      </c>
    </row>
    <row r="57">
      <c r="A57" s="21" t="s">
        <v>377</v>
      </c>
      <c r="C57" s="29">
        <f>D52/SUM(D42:D43)</f>
        <v>0.08812321372</v>
      </c>
      <c r="D57" s="21" t="s">
        <v>54</v>
      </c>
      <c r="E57" s="21" t="s">
        <v>379</v>
      </c>
    </row>
    <row r="58">
      <c r="A58" s="21" t="s">
        <v>380</v>
      </c>
      <c r="C58" s="29">
        <f>D53/D44</f>
        <v>0.08430099163</v>
      </c>
      <c r="D58" s="21" t="s">
        <v>54</v>
      </c>
      <c r="E58" s="21" t="s">
        <v>384</v>
      </c>
    </row>
    <row r="59">
      <c r="A59" s="21" t="s">
        <v>386</v>
      </c>
      <c r="C59" s="24">
        <f t="shared" ref="C59:C61" si="12">C51/D51</f>
        <v>2000</v>
      </c>
      <c r="D59" s="21" t="s">
        <v>54</v>
      </c>
      <c r="E59" s="21" t="s">
        <v>392</v>
      </c>
    </row>
    <row r="60">
      <c r="A60" s="21" t="s">
        <v>393</v>
      </c>
      <c r="C60" s="24">
        <f t="shared" si="12"/>
        <v>351.3513514</v>
      </c>
      <c r="D60" s="21" t="s">
        <v>54</v>
      </c>
      <c r="E60" s="21" t="s">
        <v>397</v>
      </c>
    </row>
    <row r="61">
      <c r="A61" s="21" t="s">
        <v>396</v>
      </c>
      <c r="C61" s="24">
        <f t="shared" si="12"/>
        <v>475</v>
      </c>
      <c r="D61" s="21" t="s">
        <v>54</v>
      </c>
      <c r="E61" s="21" t="s">
        <v>399</v>
      </c>
    </row>
    <row r="62">
      <c r="A62" s="21" t="s">
        <v>54</v>
      </c>
      <c r="B62" s="21" t="s">
        <v>54</v>
      </c>
      <c r="C62" s="21" t="s">
        <v>54</v>
      </c>
      <c r="D62" s="21" t="s">
        <v>54</v>
      </c>
      <c r="E62" s="21" t="s">
        <v>54</v>
      </c>
      <c r="F62" s="21" t="s">
        <v>54</v>
      </c>
      <c r="G62" s="21" t="s">
        <v>54</v>
      </c>
      <c r="H62" s="21" t="s">
        <v>54</v>
      </c>
    </row>
    <row r="63">
      <c r="A63" s="21" t="s">
        <v>54</v>
      </c>
      <c r="B63" s="21" t="s">
        <v>54</v>
      </c>
      <c r="C63" s="21" t="s">
        <v>54</v>
      </c>
      <c r="D63" s="21" t="s">
        <v>54</v>
      </c>
      <c r="E63" s="21" t="s">
        <v>54</v>
      </c>
      <c r="F63" s="21" t="s">
        <v>54</v>
      </c>
      <c r="G63" s="21" t="s">
        <v>54</v>
      </c>
      <c r="H63" s="21" t="s">
        <v>54</v>
      </c>
    </row>
    <row r="64">
      <c r="A64" s="18" t="s">
        <v>401</v>
      </c>
    </row>
    <row r="65">
      <c r="A65" s="21" t="s">
        <v>402</v>
      </c>
    </row>
    <row r="66">
      <c r="A66" s="21" t="s">
        <v>403</v>
      </c>
    </row>
    <row r="67">
      <c r="A67" s="21" t="s">
        <v>404</v>
      </c>
    </row>
    <row r="68">
      <c r="A68" s="21" t="s">
        <v>405</v>
      </c>
    </row>
    <row r="69">
      <c r="A69" s="21" t="s">
        <v>54</v>
      </c>
      <c r="B69" s="21" t="s">
        <v>54</v>
      </c>
      <c r="C69" s="21" t="s">
        <v>54</v>
      </c>
      <c r="D69" s="21" t="s">
        <v>54</v>
      </c>
      <c r="E69" s="21" t="s">
        <v>54</v>
      </c>
      <c r="F69" s="21" t="s">
        <v>54</v>
      </c>
      <c r="G69" s="21" t="s">
        <v>54</v>
      </c>
      <c r="H69" s="21" t="s">
        <v>54</v>
      </c>
    </row>
    <row r="70">
      <c r="A70" s="18" t="s">
        <v>407</v>
      </c>
    </row>
    <row r="71">
      <c r="A71" s="21" t="s">
        <v>408</v>
      </c>
    </row>
    <row r="72">
      <c r="A72" s="21" t="s">
        <v>409</v>
      </c>
    </row>
    <row r="73">
      <c r="A73" s="21" t="s">
        <v>410</v>
      </c>
    </row>
    <row r="74">
      <c r="A74" s="21" t="s">
        <v>412</v>
      </c>
    </row>
    <row r="75">
      <c r="A75" s="21" t="s">
        <v>413</v>
      </c>
    </row>
    <row r="76">
      <c r="A76" s="21" t="s">
        <v>415</v>
      </c>
    </row>
    <row r="77">
      <c r="A77" s="21" t="s">
        <v>54</v>
      </c>
      <c r="B77" s="21" t="s">
        <v>54</v>
      </c>
      <c r="C77" s="21" t="s">
        <v>54</v>
      </c>
      <c r="D77" s="21" t="s">
        <v>54</v>
      </c>
      <c r="E77" s="21" t="s">
        <v>54</v>
      </c>
      <c r="F77" s="21" t="s">
        <v>54</v>
      </c>
      <c r="G77" s="21" t="s">
        <v>54</v>
      </c>
      <c r="H77" s="21" t="s">
        <v>54</v>
      </c>
    </row>
    <row r="78">
      <c r="A78" s="18" t="s">
        <v>417</v>
      </c>
      <c r="B78" s="18" t="s">
        <v>419</v>
      </c>
      <c r="C78" s="18" t="s">
        <v>420</v>
      </c>
      <c r="E78" s="18" t="s">
        <v>421</v>
      </c>
    </row>
    <row r="79">
      <c r="A79" s="21" t="s">
        <v>422</v>
      </c>
      <c r="B79" s="21" t="s">
        <v>423</v>
      </c>
      <c r="C79" s="21" t="s">
        <v>426</v>
      </c>
      <c r="E79" s="62" t="s">
        <v>428</v>
      </c>
    </row>
    <row r="80">
      <c r="A80" s="21" t="s">
        <v>464</v>
      </c>
      <c r="B80" s="21" t="s">
        <v>465</v>
      </c>
      <c r="C80" s="21" t="s">
        <v>467</v>
      </c>
      <c r="E80" s="62" t="s">
        <v>468</v>
      </c>
    </row>
    <row r="81">
      <c r="A81" s="21" t="s">
        <v>471</v>
      </c>
      <c r="B81" s="21" t="s">
        <v>472</v>
      </c>
      <c r="C81" s="21" t="s">
        <v>473</v>
      </c>
      <c r="E81" s="62" t="s">
        <v>474</v>
      </c>
    </row>
    <row r="82">
      <c r="A82" s="21" t="s">
        <v>480</v>
      </c>
      <c r="B82" s="21" t="s">
        <v>472</v>
      </c>
      <c r="C82" s="21" t="s">
        <v>482</v>
      </c>
      <c r="E82" s="62" t="s">
        <v>484</v>
      </c>
    </row>
    <row r="83">
      <c r="A83" s="21" t="s">
        <v>443</v>
      </c>
      <c r="B83" s="21" t="s">
        <v>492</v>
      </c>
      <c r="C83" s="21" t="s">
        <v>493</v>
      </c>
      <c r="E83" s="21" t="s">
        <v>495</v>
      </c>
    </row>
    <row r="84">
      <c r="A84" s="21" t="s">
        <v>496</v>
      </c>
    </row>
    <row r="85">
      <c r="A85" s="21" t="s">
        <v>54</v>
      </c>
      <c r="B85" s="21" t="s">
        <v>54</v>
      </c>
      <c r="C85" s="21" t="s">
        <v>54</v>
      </c>
      <c r="D85" s="21" t="s">
        <v>54</v>
      </c>
      <c r="E85" s="21" t="s">
        <v>54</v>
      </c>
      <c r="F85" s="21" t="s">
        <v>54</v>
      </c>
      <c r="G85" s="21" t="s">
        <v>54</v>
      </c>
      <c r="H85" s="21" t="s">
        <v>54</v>
      </c>
    </row>
    <row r="86">
      <c r="A86" s="18" t="s">
        <v>450</v>
      </c>
      <c r="C86" s="18" t="s">
        <v>453</v>
      </c>
      <c r="D86" s="18" t="s">
        <v>54</v>
      </c>
      <c r="E86" s="18" t="s">
        <v>54</v>
      </c>
    </row>
    <row r="87">
      <c r="A87" s="21" t="s">
        <v>456</v>
      </c>
      <c r="C87" s="36">
        <f>SUM(C51:C52)-'Revenue Model'!F9</f>
        <v>0</v>
      </c>
      <c r="D87" s="21" t="s">
        <v>54</v>
      </c>
      <c r="E87" s="21" t="s">
        <v>54</v>
      </c>
    </row>
    <row r="88">
      <c r="A88" s="21" t="s">
        <v>469</v>
      </c>
      <c r="C88" s="28">
        <f>SUM(D51:D52)-C16</f>
        <v>0</v>
      </c>
      <c r="D88" s="21" t="s">
        <v>54</v>
      </c>
      <c r="E88" s="21" t="s">
        <v>54</v>
      </c>
    </row>
    <row r="89">
      <c r="A89" s="21" t="s">
        <v>475</v>
      </c>
      <c r="C89" s="24">
        <f>ROUND(G44-D44*C33,6)</f>
        <v>0</v>
      </c>
      <c r="D89" s="21" t="s">
        <v>54</v>
      </c>
      <c r="E89" s="21" t="s">
        <v>54</v>
      </c>
    </row>
    <row r="90">
      <c r="A90" s="21" t="s">
        <v>478</v>
      </c>
      <c r="C90" s="21" t="s">
        <v>479</v>
      </c>
      <c r="D90" s="21" t="s">
        <v>54</v>
      </c>
      <c r="E90" s="21" t="s">
        <v>504</v>
      </c>
    </row>
    <row r="91">
      <c r="A91" s="21" t="s">
        <v>483</v>
      </c>
      <c r="C91" s="21" t="s">
        <v>485</v>
      </c>
      <c r="D91" s="21" t="s">
        <v>54</v>
      </c>
      <c r="E91" s="21" t="s">
        <v>487</v>
      </c>
    </row>
    <row r="92">
      <c r="A92" s="21" t="s">
        <v>505</v>
      </c>
    </row>
    <row r="93">
      <c r="A93" s="21" t="s">
        <v>507</v>
      </c>
    </row>
    <row r="94">
      <c r="A94" s="21" t="s">
        <v>490</v>
      </c>
    </row>
    <row r="95">
      <c r="A95" s="21" t="s">
        <v>509</v>
      </c>
    </row>
    <row r="96">
      <c r="A96" s="21" t="s">
        <v>54</v>
      </c>
      <c r="B96" s="21" t="s">
        <v>54</v>
      </c>
      <c r="C96" s="21" t="s">
        <v>54</v>
      </c>
      <c r="D96" s="21" t="s">
        <v>54</v>
      </c>
      <c r="E96" s="21" t="s">
        <v>54</v>
      </c>
      <c r="F96" s="21" t="s">
        <v>54</v>
      </c>
      <c r="G96" s="21" t="s">
        <v>54</v>
      </c>
      <c r="H96" s="21" t="s">
        <v>54</v>
      </c>
    </row>
  </sheetData>
  <mergeCells count="120">
    <mergeCell ref="E30:H30"/>
    <mergeCell ref="E31:H31"/>
    <mergeCell ref="E23:H23"/>
    <mergeCell ref="E24:H24"/>
    <mergeCell ref="E25:H25"/>
    <mergeCell ref="E26:H26"/>
    <mergeCell ref="E27:H27"/>
    <mergeCell ref="E28:H28"/>
    <mergeCell ref="E29:H29"/>
    <mergeCell ref="A33:B33"/>
    <mergeCell ref="A35:B35"/>
    <mergeCell ref="A36:B36"/>
    <mergeCell ref="A37:B37"/>
    <mergeCell ref="A30:B30"/>
    <mergeCell ref="A31:B31"/>
    <mergeCell ref="A32:B32"/>
    <mergeCell ref="E32:H32"/>
    <mergeCell ref="E33:H33"/>
    <mergeCell ref="E35:H35"/>
    <mergeCell ref="E36:H36"/>
    <mergeCell ref="E56:H56"/>
    <mergeCell ref="E57:H57"/>
    <mergeCell ref="E37:H37"/>
    <mergeCell ref="A38:H38"/>
    <mergeCell ref="A45:H45"/>
    <mergeCell ref="A46:H46"/>
    <mergeCell ref="A54:H54"/>
    <mergeCell ref="A56:B56"/>
    <mergeCell ref="A57:B57"/>
    <mergeCell ref="A58:B58"/>
    <mergeCell ref="E58:H58"/>
    <mergeCell ref="A59:B59"/>
    <mergeCell ref="E59:H59"/>
    <mergeCell ref="A60:B60"/>
    <mergeCell ref="E60:H60"/>
    <mergeCell ref="A61:B61"/>
    <mergeCell ref="E61:H61"/>
    <mergeCell ref="A64:H64"/>
    <mergeCell ref="A65:H65"/>
    <mergeCell ref="A66:H66"/>
    <mergeCell ref="A67:H67"/>
    <mergeCell ref="A68:H68"/>
    <mergeCell ref="A70:H70"/>
    <mergeCell ref="E79:H79"/>
    <mergeCell ref="E80:H80"/>
    <mergeCell ref="A71:H71"/>
    <mergeCell ref="A72:H72"/>
    <mergeCell ref="A73:H73"/>
    <mergeCell ref="A74:H74"/>
    <mergeCell ref="A75:H75"/>
    <mergeCell ref="A76:H76"/>
    <mergeCell ref="E78:H78"/>
    <mergeCell ref="E87:H87"/>
    <mergeCell ref="E88:H88"/>
    <mergeCell ref="C83:D83"/>
    <mergeCell ref="E83:H83"/>
    <mergeCell ref="A84:H84"/>
    <mergeCell ref="A86:B86"/>
    <mergeCell ref="E86:H86"/>
    <mergeCell ref="A87:B87"/>
    <mergeCell ref="A88:B88"/>
    <mergeCell ref="A93:H93"/>
    <mergeCell ref="A94:H94"/>
    <mergeCell ref="A95:H95"/>
    <mergeCell ref="A89:B89"/>
    <mergeCell ref="E89:H89"/>
    <mergeCell ref="A90:B90"/>
    <mergeCell ref="E90:H90"/>
    <mergeCell ref="A91:B91"/>
    <mergeCell ref="E91:H91"/>
    <mergeCell ref="A92:H92"/>
    <mergeCell ref="A1:H1"/>
    <mergeCell ref="A2:H2"/>
    <mergeCell ref="A4:B4"/>
    <mergeCell ref="E4:H4"/>
    <mergeCell ref="A5:B5"/>
    <mergeCell ref="E5:H5"/>
    <mergeCell ref="E6:H6"/>
    <mergeCell ref="A6:B6"/>
    <mergeCell ref="A7:B7"/>
    <mergeCell ref="A8:B8"/>
    <mergeCell ref="A9:B9"/>
    <mergeCell ref="A10:B10"/>
    <mergeCell ref="A11:B11"/>
    <mergeCell ref="A12:B12"/>
    <mergeCell ref="E7:H7"/>
    <mergeCell ref="E8:H8"/>
    <mergeCell ref="E9:H9"/>
    <mergeCell ref="E10:H10"/>
    <mergeCell ref="E11:H11"/>
    <mergeCell ref="E12:H12"/>
    <mergeCell ref="E14:H14"/>
    <mergeCell ref="A14:B14"/>
    <mergeCell ref="A16:B16"/>
    <mergeCell ref="A17:B17"/>
    <mergeCell ref="A18:B18"/>
    <mergeCell ref="A19:B19"/>
    <mergeCell ref="A20:B20"/>
    <mergeCell ref="A22:B22"/>
    <mergeCell ref="A15:H15"/>
    <mergeCell ref="E16:H16"/>
    <mergeCell ref="E17:H17"/>
    <mergeCell ref="E18:H18"/>
    <mergeCell ref="E19:H19"/>
    <mergeCell ref="E20:H20"/>
    <mergeCell ref="E22:H22"/>
    <mergeCell ref="A23:B23"/>
    <mergeCell ref="A24:B24"/>
    <mergeCell ref="A25:B25"/>
    <mergeCell ref="A26:B26"/>
    <mergeCell ref="A27:B27"/>
    <mergeCell ref="A28:B28"/>
    <mergeCell ref="A29:B29"/>
    <mergeCell ref="C78:D78"/>
    <mergeCell ref="C79:D79"/>
    <mergeCell ref="C80:D80"/>
    <mergeCell ref="C81:D81"/>
    <mergeCell ref="E81:H81"/>
    <mergeCell ref="C82:D82"/>
    <mergeCell ref="E82:H82"/>
  </mergeCells>
  <hyperlinks>
    <hyperlink r:id="rId1" ref="E79"/>
    <hyperlink r:id="rId2" ref="E80"/>
    <hyperlink r:id="rId3" ref="E81"/>
    <hyperlink r:id="rId4" ref="E82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9.5"/>
    <col customWidth="1" min="2" max="6" width="18.88"/>
    <col customWidth="1" min="7" max="11" width="30.75"/>
  </cols>
  <sheetData>
    <row r="1">
      <c r="A1" s="22" t="s">
        <v>64</v>
      </c>
    </row>
    <row r="2">
      <c r="A2" s="22" t="s">
        <v>71</v>
      </c>
    </row>
    <row r="3">
      <c r="A3" s="22" t="s">
        <v>54</v>
      </c>
      <c r="B3" s="22" t="s">
        <v>54</v>
      </c>
      <c r="C3" s="22" t="s">
        <v>54</v>
      </c>
      <c r="D3" s="22" t="s">
        <v>54</v>
      </c>
      <c r="E3" s="22" t="s">
        <v>54</v>
      </c>
      <c r="F3" s="22" t="s">
        <v>54</v>
      </c>
      <c r="G3" s="22" t="s">
        <v>54</v>
      </c>
      <c r="H3" s="22" t="s">
        <v>54</v>
      </c>
      <c r="I3" s="22" t="s">
        <v>54</v>
      </c>
      <c r="J3" s="22" t="s">
        <v>54</v>
      </c>
      <c r="K3" s="22" t="s">
        <v>54</v>
      </c>
    </row>
    <row r="4">
      <c r="A4" s="23" t="s">
        <v>76</v>
      </c>
      <c r="B4" s="23" t="s">
        <v>77</v>
      </c>
      <c r="C4" s="23" t="s">
        <v>78</v>
      </c>
      <c r="D4" s="23" t="s">
        <v>79</v>
      </c>
      <c r="E4" s="23" t="s">
        <v>80</v>
      </c>
      <c r="F4" s="23" t="s">
        <v>81</v>
      </c>
      <c r="G4" s="23" t="s">
        <v>82</v>
      </c>
      <c r="H4" s="23" t="s">
        <v>83</v>
      </c>
      <c r="I4" s="23" t="s">
        <v>84</v>
      </c>
      <c r="J4" s="23" t="s">
        <v>85</v>
      </c>
      <c r="K4" s="23" t="s">
        <v>86</v>
      </c>
    </row>
    <row r="5">
      <c r="A5" s="22" t="s">
        <v>87</v>
      </c>
      <c r="B5" s="25">
        <v>950000.0</v>
      </c>
      <c r="C5" s="25" t="s">
        <v>54</v>
      </c>
      <c r="D5" s="22" t="s">
        <v>93</v>
      </c>
      <c r="E5" s="27">
        <f t="shared" ref="E5:E31" si="1">IF(AND(D5="Verified",ISNUMBER(C5),G5&lt;&gt;"",H5&lt;&gt;"",J5&lt;&gt;""),C5,B5)</f>
        <v>950000</v>
      </c>
      <c r="F5" s="22" t="s">
        <v>103</v>
      </c>
      <c r="G5" s="22" t="s">
        <v>54</v>
      </c>
      <c r="H5" s="22" t="s">
        <v>54</v>
      </c>
      <c r="I5" s="22" t="s">
        <v>104</v>
      </c>
      <c r="J5" s="22" t="s">
        <v>54</v>
      </c>
      <c r="K5" s="22" t="s">
        <v>105</v>
      </c>
    </row>
    <row r="6">
      <c r="A6" s="22" t="s">
        <v>106</v>
      </c>
      <c r="B6" s="25">
        <v>300000.0</v>
      </c>
      <c r="C6" s="25" t="s">
        <v>54</v>
      </c>
      <c r="D6" s="22" t="s">
        <v>93</v>
      </c>
      <c r="E6" s="27">
        <f t="shared" si="1"/>
        <v>300000</v>
      </c>
      <c r="F6" s="22" t="s">
        <v>103</v>
      </c>
      <c r="G6" s="22" t="s">
        <v>54</v>
      </c>
      <c r="H6" s="22" t="s">
        <v>54</v>
      </c>
      <c r="I6" s="22" t="s">
        <v>104</v>
      </c>
      <c r="J6" s="22" t="s">
        <v>54</v>
      </c>
      <c r="K6" s="22" t="s">
        <v>109</v>
      </c>
    </row>
    <row r="7">
      <c r="A7" s="22" t="s">
        <v>112</v>
      </c>
      <c r="B7" s="25">
        <v>3.0</v>
      </c>
      <c r="C7" s="25" t="s">
        <v>54</v>
      </c>
      <c r="D7" s="22" t="s">
        <v>93</v>
      </c>
      <c r="E7" s="27">
        <f t="shared" si="1"/>
        <v>3</v>
      </c>
      <c r="F7" s="22" t="s">
        <v>118</v>
      </c>
      <c r="G7" s="22" t="s">
        <v>54</v>
      </c>
      <c r="H7" s="22" t="s">
        <v>54</v>
      </c>
      <c r="I7" s="22" t="s">
        <v>119</v>
      </c>
      <c r="J7" s="22" t="s">
        <v>54</v>
      </c>
      <c r="K7" s="22" t="s">
        <v>120</v>
      </c>
    </row>
    <row r="8">
      <c r="A8" s="22" t="s">
        <v>121</v>
      </c>
      <c r="B8" s="25">
        <v>9.0</v>
      </c>
      <c r="C8" s="25" t="s">
        <v>54</v>
      </c>
      <c r="D8" s="22" t="s">
        <v>93</v>
      </c>
      <c r="E8" s="27">
        <f t="shared" si="1"/>
        <v>9</v>
      </c>
      <c r="F8" s="22" t="s">
        <v>118</v>
      </c>
      <c r="G8" s="22" t="s">
        <v>54</v>
      </c>
      <c r="H8" s="22" t="s">
        <v>54</v>
      </c>
      <c r="I8" s="22" t="s">
        <v>119</v>
      </c>
      <c r="J8" s="22" t="s">
        <v>54</v>
      </c>
      <c r="K8" s="22" t="s">
        <v>123</v>
      </c>
    </row>
    <row r="9">
      <c r="A9" s="22" t="s">
        <v>124</v>
      </c>
      <c r="B9" s="25">
        <v>150.0</v>
      </c>
      <c r="C9" s="25" t="s">
        <v>54</v>
      </c>
      <c r="D9" s="22" t="s">
        <v>130</v>
      </c>
      <c r="E9" s="27">
        <f t="shared" si="1"/>
        <v>150</v>
      </c>
      <c r="F9" s="22" t="s">
        <v>131</v>
      </c>
      <c r="G9" s="22" t="s">
        <v>54</v>
      </c>
      <c r="H9" s="22" t="s">
        <v>54</v>
      </c>
      <c r="I9" s="22" t="s">
        <v>132</v>
      </c>
      <c r="J9" s="22" t="s">
        <v>54</v>
      </c>
      <c r="K9" s="22" t="s">
        <v>133</v>
      </c>
    </row>
    <row r="10">
      <c r="A10" s="22" t="s">
        <v>134</v>
      </c>
      <c r="B10" s="25">
        <v>1000.0</v>
      </c>
      <c r="C10" s="25" t="s">
        <v>54</v>
      </c>
      <c r="D10" s="22" t="s">
        <v>130</v>
      </c>
      <c r="E10" s="27">
        <f t="shared" si="1"/>
        <v>1000</v>
      </c>
      <c r="F10" s="22" t="s">
        <v>131</v>
      </c>
      <c r="G10" s="22" t="s">
        <v>54</v>
      </c>
      <c r="H10" s="22" t="s">
        <v>54</v>
      </c>
      <c r="I10" s="22" t="s">
        <v>132</v>
      </c>
      <c r="J10" s="22" t="s">
        <v>54</v>
      </c>
      <c r="K10" s="22" t="s">
        <v>135</v>
      </c>
    </row>
    <row r="11">
      <c r="A11" s="22" t="s">
        <v>136</v>
      </c>
      <c r="B11" s="25">
        <v>2000.0</v>
      </c>
      <c r="C11" s="25" t="s">
        <v>54</v>
      </c>
      <c r="D11" s="22" t="s">
        <v>130</v>
      </c>
      <c r="E11" s="27">
        <f t="shared" si="1"/>
        <v>2000</v>
      </c>
      <c r="F11" s="22" t="s">
        <v>131</v>
      </c>
      <c r="G11" s="22" t="s">
        <v>54</v>
      </c>
      <c r="H11" s="22" t="s">
        <v>54</v>
      </c>
      <c r="I11" s="22" t="s">
        <v>132</v>
      </c>
      <c r="J11" s="22" t="s">
        <v>54</v>
      </c>
      <c r="K11" s="22" t="s">
        <v>135</v>
      </c>
    </row>
    <row r="12">
      <c r="A12" s="22" t="s">
        <v>138</v>
      </c>
      <c r="B12" s="25">
        <v>5000.0</v>
      </c>
      <c r="C12" s="25" t="s">
        <v>54</v>
      </c>
      <c r="D12" s="22" t="s">
        <v>139</v>
      </c>
      <c r="E12" s="27">
        <f t="shared" si="1"/>
        <v>5000</v>
      </c>
      <c r="F12" s="22" t="s">
        <v>141</v>
      </c>
      <c r="G12" s="22" t="s">
        <v>54</v>
      </c>
      <c r="H12" s="22" t="s">
        <v>54</v>
      </c>
      <c r="I12" s="22" t="s">
        <v>104</v>
      </c>
      <c r="J12" s="22" t="s">
        <v>54</v>
      </c>
      <c r="K12" s="22" t="s">
        <v>142</v>
      </c>
    </row>
    <row r="13">
      <c r="A13" s="22" t="s">
        <v>143</v>
      </c>
      <c r="B13" s="25">
        <v>5000.0</v>
      </c>
      <c r="C13" s="25" t="s">
        <v>54</v>
      </c>
      <c r="D13" s="22" t="s">
        <v>139</v>
      </c>
      <c r="E13" s="27">
        <f t="shared" si="1"/>
        <v>5000</v>
      </c>
      <c r="F13" s="22" t="s">
        <v>141</v>
      </c>
      <c r="G13" s="22" t="s">
        <v>54</v>
      </c>
      <c r="H13" s="22" t="s">
        <v>54</v>
      </c>
      <c r="I13" s="22" t="s">
        <v>119</v>
      </c>
      <c r="J13" s="22" t="s">
        <v>54</v>
      </c>
      <c r="K13" s="22" t="s">
        <v>148</v>
      </c>
    </row>
    <row r="14">
      <c r="A14" s="22" t="s">
        <v>149</v>
      </c>
      <c r="B14" s="25">
        <v>900.0</v>
      </c>
      <c r="C14" s="25" t="s">
        <v>54</v>
      </c>
      <c r="D14" s="22" t="s">
        <v>151</v>
      </c>
      <c r="E14" s="27">
        <f t="shared" si="1"/>
        <v>900</v>
      </c>
      <c r="F14" s="22" t="s">
        <v>141</v>
      </c>
      <c r="G14" s="22" t="s">
        <v>54</v>
      </c>
      <c r="H14" s="22" t="s">
        <v>54</v>
      </c>
      <c r="I14" s="22" t="s">
        <v>153</v>
      </c>
      <c r="J14" s="22" t="s">
        <v>54</v>
      </c>
      <c r="K14" s="22" t="s">
        <v>155</v>
      </c>
    </row>
    <row r="15">
      <c r="A15" s="22" t="s">
        <v>156</v>
      </c>
      <c r="B15" s="25">
        <v>600.0</v>
      </c>
      <c r="C15" s="25" t="s">
        <v>54</v>
      </c>
      <c r="D15" s="22" t="s">
        <v>151</v>
      </c>
      <c r="E15" s="27">
        <f t="shared" si="1"/>
        <v>600</v>
      </c>
      <c r="F15" s="22" t="s">
        <v>141</v>
      </c>
      <c r="G15" s="22" t="s">
        <v>54</v>
      </c>
      <c r="H15" s="22" t="s">
        <v>54</v>
      </c>
      <c r="I15" s="22" t="s">
        <v>153</v>
      </c>
      <c r="J15" s="22" t="s">
        <v>54</v>
      </c>
      <c r="K15" s="22" t="s">
        <v>158</v>
      </c>
    </row>
    <row r="16">
      <c r="A16" s="22" t="s">
        <v>159</v>
      </c>
      <c r="B16" s="25">
        <v>450.0</v>
      </c>
      <c r="C16" s="25" t="s">
        <v>54</v>
      </c>
      <c r="D16" s="22" t="s">
        <v>151</v>
      </c>
      <c r="E16" s="27">
        <f t="shared" si="1"/>
        <v>450</v>
      </c>
      <c r="F16" s="22" t="s">
        <v>141</v>
      </c>
      <c r="G16" s="22" t="s">
        <v>54</v>
      </c>
      <c r="H16" s="22" t="s">
        <v>54</v>
      </c>
      <c r="I16" s="22" t="s">
        <v>153</v>
      </c>
      <c r="J16" s="22" t="s">
        <v>54</v>
      </c>
      <c r="K16" s="22" t="s">
        <v>160</v>
      </c>
    </row>
    <row r="17">
      <c r="A17" s="22" t="s">
        <v>161</v>
      </c>
      <c r="B17" s="25">
        <v>600.0</v>
      </c>
      <c r="C17" s="25" t="s">
        <v>54</v>
      </c>
      <c r="D17" s="22" t="s">
        <v>151</v>
      </c>
      <c r="E17" s="27">
        <f t="shared" si="1"/>
        <v>600</v>
      </c>
      <c r="F17" s="22" t="s">
        <v>141</v>
      </c>
      <c r="G17" s="22" t="s">
        <v>54</v>
      </c>
      <c r="H17" s="22" t="s">
        <v>54</v>
      </c>
      <c r="I17" s="22" t="s">
        <v>153</v>
      </c>
      <c r="J17" s="22" t="s">
        <v>54</v>
      </c>
      <c r="K17" s="22" t="s">
        <v>163</v>
      </c>
    </row>
    <row r="18">
      <c r="A18" s="22" t="s">
        <v>165</v>
      </c>
      <c r="B18" s="25">
        <v>150.0</v>
      </c>
      <c r="C18" s="25" t="s">
        <v>54</v>
      </c>
      <c r="D18" s="22" t="s">
        <v>151</v>
      </c>
      <c r="E18" s="27">
        <f t="shared" si="1"/>
        <v>150</v>
      </c>
      <c r="F18" s="22" t="s">
        <v>141</v>
      </c>
      <c r="G18" s="22" t="s">
        <v>54</v>
      </c>
      <c r="H18" s="22" t="s">
        <v>54</v>
      </c>
      <c r="I18" s="22" t="s">
        <v>153</v>
      </c>
      <c r="J18" s="22" t="s">
        <v>54</v>
      </c>
      <c r="K18" s="22" t="s">
        <v>166</v>
      </c>
    </row>
    <row r="19">
      <c r="A19" s="22" t="s">
        <v>167</v>
      </c>
      <c r="B19" s="25">
        <v>300.0</v>
      </c>
      <c r="C19" s="25" t="s">
        <v>54</v>
      </c>
      <c r="D19" s="22" t="s">
        <v>151</v>
      </c>
      <c r="E19" s="27">
        <f t="shared" si="1"/>
        <v>300</v>
      </c>
      <c r="F19" s="22" t="s">
        <v>141</v>
      </c>
      <c r="G19" s="22" t="s">
        <v>54</v>
      </c>
      <c r="H19" s="22" t="s">
        <v>54</v>
      </c>
      <c r="I19" s="22" t="s">
        <v>119</v>
      </c>
      <c r="J19" s="22" t="s">
        <v>54</v>
      </c>
      <c r="K19" s="22" t="s">
        <v>170</v>
      </c>
    </row>
    <row r="20">
      <c r="A20" s="22" t="s">
        <v>171</v>
      </c>
      <c r="B20" s="25">
        <v>105000.0</v>
      </c>
      <c r="C20" s="25" t="s">
        <v>54</v>
      </c>
      <c r="D20" s="22" t="s">
        <v>151</v>
      </c>
      <c r="E20" s="27">
        <f t="shared" si="1"/>
        <v>105000</v>
      </c>
      <c r="F20" s="22" t="s">
        <v>103</v>
      </c>
      <c r="G20" s="22" t="s">
        <v>54</v>
      </c>
      <c r="H20" s="22" t="s">
        <v>54</v>
      </c>
      <c r="I20" s="22" t="s">
        <v>132</v>
      </c>
      <c r="J20" s="22" t="s">
        <v>54</v>
      </c>
      <c r="K20" s="22" t="s">
        <v>176</v>
      </c>
    </row>
    <row r="21">
      <c r="A21" s="22" t="s">
        <v>177</v>
      </c>
      <c r="B21" s="25">
        <v>150000.0</v>
      </c>
      <c r="C21" s="25" t="s">
        <v>54</v>
      </c>
      <c r="D21" s="22" t="s">
        <v>151</v>
      </c>
      <c r="E21" s="27">
        <f t="shared" si="1"/>
        <v>150000</v>
      </c>
      <c r="F21" s="22" t="s">
        <v>103</v>
      </c>
      <c r="G21" s="22" t="s">
        <v>54</v>
      </c>
      <c r="H21" s="22" t="s">
        <v>54</v>
      </c>
      <c r="I21" s="22" t="s">
        <v>132</v>
      </c>
      <c r="J21" s="22" t="s">
        <v>54</v>
      </c>
      <c r="K21" s="22" t="s">
        <v>180</v>
      </c>
    </row>
    <row r="22">
      <c r="A22" s="22" t="s">
        <v>181</v>
      </c>
      <c r="B22" s="25">
        <v>280000.0</v>
      </c>
      <c r="C22" s="25" t="s">
        <v>54</v>
      </c>
      <c r="D22" s="22" t="s">
        <v>151</v>
      </c>
      <c r="E22" s="27">
        <f t="shared" si="1"/>
        <v>280000</v>
      </c>
      <c r="F22" s="22" t="s">
        <v>103</v>
      </c>
      <c r="G22" s="22" t="s">
        <v>54</v>
      </c>
      <c r="H22" s="22" t="s">
        <v>54</v>
      </c>
      <c r="I22" s="22" t="s">
        <v>132</v>
      </c>
      <c r="J22" s="22" t="s">
        <v>54</v>
      </c>
      <c r="K22" s="22" t="s">
        <v>180</v>
      </c>
    </row>
    <row r="23">
      <c r="A23" s="22" t="s">
        <v>182</v>
      </c>
      <c r="B23" s="25">
        <v>45000.0</v>
      </c>
      <c r="C23" s="25" t="s">
        <v>54</v>
      </c>
      <c r="D23" s="22" t="s">
        <v>151</v>
      </c>
      <c r="E23" s="27">
        <f t="shared" si="1"/>
        <v>45000</v>
      </c>
      <c r="F23" s="22" t="s">
        <v>103</v>
      </c>
      <c r="G23" s="22" t="s">
        <v>54</v>
      </c>
      <c r="H23" s="22" t="s">
        <v>54</v>
      </c>
      <c r="I23" s="22" t="s">
        <v>119</v>
      </c>
      <c r="J23" s="22" t="s">
        <v>54</v>
      </c>
      <c r="K23" s="22" t="s">
        <v>184</v>
      </c>
    </row>
    <row r="24">
      <c r="A24" s="22" t="s">
        <v>186</v>
      </c>
      <c r="B24" s="25">
        <v>90000.0</v>
      </c>
      <c r="C24" s="25" t="s">
        <v>54</v>
      </c>
      <c r="D24" s="22" t="s">
        <v>151</v>
      </c>
      <c r="E24" s="27">
        <f t="shared" si="1"/>
        <v>90000</v>
      </c>
      <c r="F24" s="22" t="s">
        <v>103</v>
      </c>
      <c r="G24" s="22" t="s">
        <v>54</v>
      </c>
      <c r="H24" s="22" t="s">
        <v>54</v>
      </c>
      <c r="I24" s="22" t="s">
        <v>119</v>
      </c>
      <c r="J24" s="22" t="s">
        <v>54</v>
      </c>
      <c r="K24" s="22" t="s">
        <v>187</v>
      </c>
    </row>
    <row r="25">
      <c r="A25" s="22" t="s">
        <v>188</v>
      </c>
      <c r="B25" s="25">
        <v>135000.0</v>
      </c>
      <c r="C25" s="25" t="s">
        <v>54</v>
      </c>
      <c r="D25" s="22" t="s">
        <v>151</v>
      </c>
      <c r="E25" s="27">
        <f t="shared" si="1"/>
        <v>135000</v>
      </c>
      <c r="F25" s="22" t="s">
        <v>103</v>
      </c>
      <c r="G25" s="22" t="s">
        <v>54</v>
      </c>
      <c r="H25" s="22" t="s">
        <v>54</v>
      </c>
      <c r="I25" s="22" t="s">
        <v>119</v>
      </c>
      <c r="J25" s="22" t="s">
        <v>54</v>
      </c>
      <c r="K25" s="22" t="s">
        <v>187</v>
      </c>
    </row>
    <row r="26">
      <c r="A26" s="22" t="s">
        <v>190</v>
      </c>
      <c r="B26" s="25">
        <v>30000.0</v>
      </c>
      <c r="C26" s="25" t="s">
        <v>54</v>
      </c>
      <c r="D26" s="22" t="s">
        <v>151</v>
      </c>
      <c r="E26" s="27">
        <f t="shared" si="1"/>
        <v>30000</v>
      </c>
      <c r="F26" s="22" t="s">
        <v>103</v>
      </c>
      <c r="G26" s="22" t="s">
        <v>54</v>
      </c>
      <c r="H26" s="22" t="s">
        <v>54</v>
      </c>
      <c r="I26" s="22" t="s">
        <v>192</v>
      </c>
      <c r="J26" s="22" t="s">
        <v>54</v>
      </c>
      <c r="K26" s="22" t="s">
        <v>193</v>
      </c>
    </row>
    <row r="27">
      <c r="A27" s="22" t="s">
        <v>195</v>
      </c>
      <c r="B27" s="25">
        <v>60000.0</v>
      </c>
      <c r="C27" s="25" t="s">
        <v>54</v>
      </c>
      <c r="D27" s="22" t="s">
        <v>151</v>
      </c>
      <c r="E27" s="27">
        <f t="shared" si="1"/>
        <v>60000</v>
      </c>
      <c r="F27" s="22" t="s">
        <v>103</v>
      </c>
      <c r="G27" s="22" t="s">
        <v>54</v>
      </c>
      <c r="H27" s="22" t="s">
        <v>54</v>
      </c>
      <c r="I27" s="22" t="s">
        <v>192</v>
      </c>
      <c r="J27" s="22" t="s">
        <v>54</v>
      </c>
      <c r="K27" s="22" t="s">
        <v>197</v>
      </c>
    </row>
    <row r="28">
      <c r="A28" s="22" t="s">
        <v>198</v>
      </c>
      <c r="B28" s="25">
        <v>15000.0</v>
      </c>
      <c r="C28" s="25" t="s">
        <v>54</v>
      </c>
      <c r="D28" s="22" t="s">
        <v>151</v>
      </c>
      <c r="E28" s="27">
        <f t="shared" si="1"/>
        <v>15000</v>
      </c>
      <c r="F28" s="22" t="s">
        <v>103</v>
      </c>
      <c r="G28" s="22" t="s">
        <v>54</v>
      </c>
      <c r="H28" s="22" t="s">
        <v>54</v>
      </c>
      <c r="I28" s="22" t="s">
        <v>119</v>
      </c>
      <c r="J28" s="22" t="s">
        <v>54</v>
      </c>
      <c r="K28" s="22" t="s">
        <v>199</v>
      </c>
    </row>
    <row r="29">
      <c r="A29" s="22" t="s">
        <v>200</v>
      </c>
      <c r="B29" s="25">
        <v>35000.0</v>
      </c>
      <c r="C29" s="25" t="s">
        <v>54</v>
      </c>
      <c r="D29" s="22" t="s">
        <v>151</v>
      </c>
      <c r="E29" s="27">
        <f t="shared" si="1"/>
        <v>35000</v>
      </c>
      <c r="F29" s="22" t="s">
        <v>103</v>
      </c>
      <c r="G29" s="22" t="s">
        <v>54</v>
      </c>
      <c r="H29" s="22" t="s">
        <v>54</v>
      </c>
      <c r="I29" s="22" t="s">
        <v>119</v>
      </c>
      <c r="J29" s="22" t="s">
        <v>54</v>
      </c>
      <c r="K29" s="22" t="s">
        <v>204</v>
      </c>
    </row>
    <row r="30">
      <c r="A30" s="22" t="s">
        <v>205</v>
      </c>
      <c r="B30" s="25">
        <v>50000.0</v>
      </c>
      <c r="C30" s="25" t="s">
        <v>54</v>
      </c>
      <c r="D30" s="22" t="s">
        <v>151</v>
      </c>
      <c r="E30" s="27">
        <f t="shared" si="1"/>
        <v>50000</v>
      </c>
      <c r="F30" s="22" t="s">
        <v>103</v>
      </c>
      <c r="G30" s="22" t="s">
        <v>54</v>
      </c>
      <c r="H30" s="22" t="s">
        <v>54</v>
      </c>
      <c r="I30" s="22" t="s">
        <v>153</v>
      </c>
      <c r="J30" s="22" t="s">
        <v>54</v>
      </c>
      <c r="K30" s="22" t="s">
        <v>207</v>
      </c>
    </row>
    <row r="31">
      <c r="A31" s="22" t="s">
        <v>208</v>
      </c>
      <c r="B31" s="25">
        <v>86.0</v>
      </c>
      <c r="C31" s="25" t="s">
        <v>54</v>
      </c>
      <c r="D31" s="22" t="s">
        <v>210</v>
      </c>
      <c r="E31" s="27">
        <f t="shared" si="1"/>
        <v>86</v>
      </c>
      <c r="F31" s="22" t="s">
        <v>212</v>
      </c>
      <c r="G31" s="22" t="s">
        <v>54</v>
      </c>
      <c r="H31" s="22" t="s">
        <v>54</v>
      </c>
      <c r="I31" s="22" t="s">
        <v>153</v>
      </c>
      <c r="J31" s="22" t="s">
        <v>54</v>
      </c>
      <c r="K31" s="22" t="s">
        <v>213</v>
      </c>
    </row>
    <row r="32">
      <c r="A32" s="22" t="s">
        <v>54</v>
      </c>
      <c r="B32" s="22" t="s">
        <v>54</v>
      </c>
      <c r="C32" s="22" t="s">
        <v>54</v>
      </c>
      <c r="D32" s="22" t="s">
        <v>54</v>
      </c>
      <c r="E32" s="22" t="s">
        <v>54</v>
      </c>
      <c r="F32" s="22" t="s">
        <v>54</v>
      </c>
      <c r="G32" s="22" t="s">
        <v>54</v>
      </c>
      <c r="H32" s="22" t="s">
        <v>54</v>
      </c>
      <c r="I32" s="22" t="s">
        <v>54</v>
      </c>
      <c r="J32" s="22" t="s">
        <v>54</v>
      </c>
      <c r="K32" s="22" t="s">
        <v>54</v>
      </c>
    </row>
    <row r="33">
      <c r="A33" s="22" t="s">
        <v>214</v>
      </c>
    </row>
    <row r="34">
      <c r="A34" s="22" t="s">
        <v>219</v>
      </c>
    </row>
    <row r="35">
      <c r="A35" s="22" t="s">
        <v>223</v>
      </c>
    </row>
    <row r="36">
      <c r="A36" s="22" t="s">
        <v>54</v>
      </c>
      <c r="B36" s="22" t="s">
        <v>54</v>
      </c>
      <c r="C36" s="22" t="s">
        <v>54</v>
      </c>
      <c r="D36" s="22" t="s">
        <v>54</v>
      </c>
      <c r="E36" s="22" t="s">
        <v>54</v>
      </c>
      <c r="F36" s="22" t="s">
        <v>54</v>
      </c>
      <c r="G36" s="22" t="s">
        <v>54</v>
      </c>
      <c r="H36" s="22" t="s">
        <v>54</v>
      </c>
      <c r="I36" s="22" t="s">
        <v>54</v>
      </c>
      <c r="J36" s="22" t="s">
        <v>54</v>
      </c>
      <c r="K36" s="22" t="s">
        <v>54</v>
      </c>
    </row>
    <row r="37">
      <c r="A37" s="31" t="s">
        <v>227</v>
      </c>
      <c r="B37" s="31" t="s">
        <v>228</v>
      </c>
      <c r="C37" s="31" t="s">
        <v>84</v>
      </c>
      <c r="D37" s="31" t="s">
        <v>229</v>
      </c>
      <c r="E37" s="22" t="s">
        <v>54</v>
      </c>
      <c r="F37" s="22" t="s">
        <v>54</v>
      </c>
      <c r="G37" s="22" t="s">
        <v>54</v>
      </c>
      <c r="H37" s="22" t="s">
        <v>54</v>
      </c>
      <c r="I37" s="22" t="s">
        <v>54</v>
      </c>
      <c r="J37" s="22" t="s">
        <v>54</v>
      </c>
      <c r="K37" s="22" t="s">
        <v>54</v>
      </c>
    </row>
    <row r="38">
      <c r="A38" s="22" t="s">
        <v>230</v>
      </c>
      <c r="B38" s="22" t="s">
        <v>231</v>
      </c>
      <c r="C38" s="22" t="s">
        <v>132</v>
      </c>
      <c r="D38" s="22" t="s">
        <v>232</v>
      </c>
      <c r="E38" s="22" t="s">
        <v>54</v>
      </c>
      <c r="F38" s="22" t="s">
        <v>54</v>
      </c>
      <c r="G38" s="22" t="s">
        <v>54</v>
      </c>
      <c r="H38" s="22" t="s">
        <v>54</v>
      </c>
      <c r="I38" s="22" t="s">
        <v>54</v>
      </c>
      <c r="J38" s="22" t="s">
        <v>54</v>
      </c>
      <c r="K38" s="22" t="s">
        <v>54</v>
      </c>
    </row>
    <row r="39">
      <c r="A39" s="22" t="s">
        <v>233</v>
      </c>
      <c r="B39" s="22" t="s">
        <v>234</v>
      </c>
      <c r="C39" s="22" t="s">
        <v>236</v>
      </c>
      <c r="D39" s="22" t="s">
        <v>232</v>
      </c>
      <c r="E39" s="22" t="s">
        <v>54</v>
      </c>
      <c r="F39" s="22" t="s">
        <v>54</v>
      </c>
      <c r="G39" s="22" t="s">
        <v>54</v>
      </c>
      <c r="H39" s="22" t="s">
        <v>54</v>
      </c>
      <c r="I39" s="22" t="s">
        <v>54</v>
      </c>
      <c r="J39" s="22" t="s">
        <v>54</v>
      </c>
      <c r="K39" s="22" t="s">
        <v>54</v>
      </c>
    </row>
    <row r="40">
      <c r="A40" s="22" t="s">
        <v>238</v>
      </c>
      <c r="B40" s="22" t="s">
        <v>239</v>
      </c>
      <c r="C40" s="22" t="s">
        <v>132</v>
      </c>
      <c r="D40" s="22" t="s">
        <v>232</v>
      </c>
      <c r="E40" s="22" t="s">
        <v>54</v>
      </c>
      <c r="F40" s="22" t="s">
        <v>54</v>
      </c>
      <c r="G40" s="22" t="s">
        <v>54</v>
      </c>
      <c r="H40" s="22" t="s">
        <v>54</v>
      </c>
      <c r="I40" s="22" t="s">
        <v>54</v>
      </c>
      <c r="J40" s="22" t="s">
        <v>54</v>
      </c>
      <c r="K40" s="22" t="s">
        <v>54</v>
      </c>
    </row>
    <row r="41">
      <c r="A41" s="22" t="s">
        <v>240</v>
      </c>
      <c r="B41" s="22" t="s">
        <v>241</v>
      </c>
      <c r="C41" s="22" t="s">
        <v>119</v>
      </c>
      <c r="D41" s="22" t="s">
        <v>232</v>
      </c>
      <c r="E41" s="22" t="s">
        <v>54</v>
      </c>
      <c r="F41" s="22" t="s">
        <v>54</v>
      </c>
      <c r="G41" s="22" t="s">
        <v>54</v>
      </c>
      <c r="H41" s="22" t="s">
        <v>54</v>
      </c>
      <c r="I41" s="22" t="s">
        <v>54</v>
      </c>
      <c r="J41" s="22" t="s">
        <v>54</v>
      </c>
      <c r="K41" s="22" t="s">
        <v>54</v>
      </c>
    </row>
    <row r="42">
      <c r="A42" s="22" t="s">
        <v>242</v>
      </c>
      <c r="B42" s="22" t="s">
        <v>243</v>
      </c>
      <c r="C42" s="22" t="s">
        <v>244</v>
      </c>
      <c r="D42" s="22" t="s">
        <v>232</v>
      </c>
      <c r="E42" s="22" t="s">
        <v>54</v>
      </c>
      <c r="F42" s="22" t="s">
        <v>54</v>
      </c>
      <c r="G42" s="22" t="s">
        <v>54</v>
      </c>
      <c r="H42" s="22" t="s">
        <v>54</v>
      </c>
      <c r="I42" s="22" t="s">
        <v>54</v>
      </c>
      <c r="J42" s="22" t="s">
        <v>54</v>
      </c>
      <c r="K42" s="22" t="s">
        <v>54</v>
      </c>
    </row>
    <row r="43">
      <c r="A43" s="22" t="s">
        <v>245</v>
      </c>
      <c r="B43" s="22" t="s">
        <v>246</v>
      </c>
      <c r="C43" s="22" t="s">
        <v>247</v>
      </c>
      <c r="D43" s="22" t="s">
        <v>232</v>
      </c>
      <c r="E43" s="22" t="s">
        <v>54</v>
      </c>
      <c r="F43" s="22" t="s">
        <v>54</v>
      </c>
      <c r="G43" s="22" t="s">
        <v>54</v>
      </c>
      <c r="H43" s="22" t="s">
        <v>54</v>
      </c>
      <c r="I43" s="22" t="s">
        <v>54</v>
      </c>
      <c r="J43" s="22" t="s">
        <v>54</v>
      </c>
      <c r="K43" s="22" t="s">
        <v>54</v>
      </c>
    </row>
    <row r="44">
      <c r="A44" s="22" t="s">
        <v>249</v>
      </c>
      <c r="B44" s="22" t="s">
        <v>250</v>
      </c>
      <c r="C44" s="22" t="s">
        <v>153</v>
      </c>
      <c r="D44" s="22" t="s">
        <v>232</v>
      </c>
      <c r="E44" s="22" t="s">
        <v>54</v>
      </c>
      <c r="F44" s="22" t="s">
        <v>54</v>
      </c>
      <c r="G44" s="22" t="s">
        <v>54</v>
      </c>
      <c r="H44" s="22" t="s">
        <v>54</v>
      </c>
      <c r="I44" s="22" t="s">
        <v>54</v>
      </c>
      <c r="J44" s="22" t="s">
        <v>54</v>
      </c>
      <c r="K44" s="22" t="s">
        <v>54</v>
      </c>
    </row>
    <row r="45">
      <c r="A45" s="22" t="s">
        <v>251</v>
      </c>
      <c r="B45" s="22" t="s">
        <v>252</v>
      </c>
      <c r="C45" s="22" t="s">
        <v>104</v>
      </c>
      <c r="D45" s="22" t="s">
        <v>232</v>
      </c>
      <c r="E45" s="22" t="s">
        <v>54</v>
      </c>
      <c r="F45" s="22" t="s">
        <v>54</v>
      </c>
      <c r="G45" s="22" t="s">
        <v>54</v>
      </c>
      <c r="H45" s="22" t="s">
        <v>54</v>
      </c>
      <c r="I45" s="22" t="s">
        <v>54</v>
      </c>
      <c r="J45" s="22" t="s">
        <v>54</v>
      </c>
      <c r="K45" s="22" t="s">
        <v>54</v>
      </c>
    </row>
    <row r="46">
      <c r="A46" s="22" t="s">
        <v>253</v>
      </c>
      <c r="B46" s="22" t="s">
        <v>254</v>
      </c>
      <c r="C46" s="22" t="s">
        <v>119</v>
      </c>
      <c r="D46" s="22" t="s">
        <v>232</v>
      </c>
      <c r="E46" s="22" t="s">
        <v>54</v>
      </c>
      <c r="F46" s="22" t="s">
        <v>54</v>
      </c>
      <c r="G46" s="22" t="s">
        <v>54</v>
      </c>
      <c r="H46" s="22" t="s">
        <v>54</v>
      </c>
      <c r="I46" s="22" t="s">
        <v>54</v>
      </c>
      <c r="J46" s="22" t="s">
        <v>54</v>
      </c>
      <c r="K46" s="22" t="s">
        <v>54</v>
      </c>
    </row>
    <row r="47">
      <c r="A47" s="22" t="s">
        <v>256</v>
      </c>
      <c r="B47" s="22" t="s">
        <v>258</v>
      </c>
      <c r="C47" s="22" t="s">
        <v>260</v>
      </c>
      <c r="D47" s="22" t="s">
        <v>232</v>
      </c>
      <c r="E47" s="22" t="s">
        <v>54</v>
      </c>
      <c r="F47" s="22" t="s">
        <v>54</v>
      </c>
      <c r="G47" s="22" t="s">
        <v>54</v>
      </c>
      <c r="H47" s="22" t="s">
        <v>54</v>
      </c>
      <c r="I47" s="22" t="s">
        <v>54</v>
      </c>
      <c r="J47" s="22" t="s">
        <v>54</v>
      </c>
      <c r="K47" s="22" t="s">
        <v>54</v>
      </c>
    </row>
    <row r="48">
      <c r="A48" s="22" t="s">
        <v>261</v>
      </c>
      <c r="B48" s="22" t="s">
        <v>262</v>
      </c>
      <c r="C48" s="22" t="s">
        <v>119</v>
      </c>
      <c r="D48" s="22" t="s">
        <v>232</v>
      </c>
      <c r="E48" s="22" t="s">
        <v>54</v>
      </c>
      <c r="F48" s="22" t="s">
        <v>54</v>
      </c>
      <c r="G48" s="22" t="s">
        <v>54</v>
      </c>
      <c r="H48" s="22" t="s">
        <v>54</v>
      </c>
      <c r="I48" s="22" t="s">
        <v>54</v>
      </c>
      <c r="J48" s="22" t="s">
        <v>54</v>
      </c>
      <c r="K48" s="22" t="s">
        <v>54</v>
      </c>
    </row>
  </sheetData>
  <autoFilter ref="$A$4:$K$31"/>
  <mergeCells count="5">
    <mergeCell ref="A1:K1"/>
    <mergeCell ref="A2:K2"/>
    <mergeCell ref="A33:K33"/>
    <mergeCell ref="A34:K34"/>
    <mergeCell ref="A35:K35"/>
  </mergeCells>
  <dataValidations>
    <dataValidation type="list" allowBlank="1" showErrorMessage="1" sqref="D5:D31">
      <formula1>"Planning,Founder plan,Target,Founder confirmed budget,Founder-researched cost,Verified"</formula1>
    </dataValidation>
    <dataValidation type="decimal" operator="greaterThanOrEqual" allowBlank="1" showDropDown="1" showErrorMessage="1" sqref="B5:C31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6.38"/>
    <col customWidth="1" min="2" max="8" width="19.5"/>
    <col customWidth="1" min="9" max="9" width="55.38"/>
  </cols>
  <sheetData>
    <row r="1">
      <c r="A1" s="23" t="s">
        <v>203</v>
      </c>
    </row>
    <row r="2">
      <c r="A2" s="22" t="s">
        <v>206</v>
      </c>
    </row>
    <row r="3">
      <c r="A3" s="22" t="s">
        <v>209</v>
      </c>
    </row>
    <row r="4">
      <c r="A4" s="22" t="s">
        <v>54</v>
      </c>
      <c r="B4" s="22" t="s">
        <v>54</v>
      </c>
      <c r="C4" s="22" t="s">
        <v>54</v>
      </c>
      <c r="D4" s="22" t="s">
        <v>54</v>
      </c>
      <c r="E4" s="22"/>
      <c r="F4" s="22" t="s">
        <v>54</v>
      </c>
      <c r="G4" s="22" t="s">
        <v>54</v>
      </c>
      <c r="H4" s="22" t="s">
        <v>54</v>
      </c>
      <c r="I4" s="22" t="s">
        <v>54</v>
      </c>
    </row>
    <row r="5">
      <c r="A5" s="23" t="s">
        <v>215</v>
      </c>
      <c r="B5" s="23" t="s">
        <v>217</v>
      </c>
      <c r="C5" s="23" t="s">
        <v>218</v>
      </c>
      <c r="D5" s="23" t="s">
        <v>220</v>
      </c>
      <c r="E5" s="23"/>
      <c r="F5" s="23" t="s">
        <v>222</v>
      </c>
      <c r="G5" s="23" t="s">
        <v>224</v>
      </c>
      <c r="H5" s="23" t="s">
        <v>225</v>
      </c>
      <c r="I5" s="23" t="s">
        <v>226</v>
      </c>
    </row>
    <row r="6">
      <c r="A6" s="22" t="s">
        <v>6</v>
      </c>
      <c r="B6" s="32">
        <f>'Budget Evidence'!E20</f>
        <v>105000</v>
      </c>
      <c r="C6" s="32">
        <f>'Budget Evidence'!E21</f>
        <v>150000</v>
      </c>
      <c r="D6" s="32">
        <f t="shared" ref="D6:D15" si="1">SUM(B6:C6)</f>
        <v>255000</v>
      </c>
      <c r="E6" s="32"/>
      <c r="F6" s="32">
        <f t="shared" ref="F6:F13" si="2">B6</f>
        <v>105000</v>
      </c>
      <c r="G6" s="32">
        <f>'Budget Evidence'!E22</f>
        <v>280000</v>
      </c>
      <c r="H6" s="32">
        <f t="shared" ref="H6:H15" si="3">SUM(F6:G6)</f>
        <v>385000</v>
      </c>
      <c r="I6" s="22" t="s">
        <v>255</v>
      </c>
    </row>
    <row r="7">
      <c r="A7" s="22" t="s">
        <v>259</v>
      </c>
      <c r="B7" s="32">
        <f>'Budget Evidence'!E23</f>
        <v>45000</v>
      </c>
      <c r="C7" s="32">
        <f>'Budget Evidence'!E24</f>
        <v>90000</v>
      </c>
      <c r="D7" s="32">
        <f t="shared" si="1"/>
        <v>135000</v>
      </c>
      <c r="E7" s="32"/>
      <c r="F7" s="32">
        <f t="shared" si="2"/>
        <v>45000</v>
      </c>
      <c r="G7" s="32">
        <f>'Budget Evidence'!E25</f>
        <v>135000</v>
      </c>
      <c r="H7" s="32">
        <f t="shared" si="3"/>
        <v>180000</v>
      </c>
      <c r="I7" s="22" t="s">
        <v>264</v>
      </c>
    </row>
    <row r="8">
      <c r="A8" s="22" t="s">
        <v>265</v>
      </c>
      <c r="B8" s="32">
        <f>'Budget Evidence'!E26</f>
        <v>30000</v>
      </c>
      <c r="C8" s="32">
        <f>'Budget Evidence'!E27</f>
        <v>60000</v>
      </c>
      <c r="D8" s="32">
        <f t="shared" si="1"/>
        <v>90000</v>
      </c>
      <c r="E8" s="32"/>
      <c r="F8" s="32">
        <f t="shared" si="2"/>
        <v>30000</v>
      </c>
      <c r="G8" s="32">
        <f t="shared" ref="G8:G13" si="4">C8</f>
        <v>60000</v>
      </c>
      <c r="H8" s="32">
        <f t="shared" si="3"/>
        <v>90000</v>
      </c>
      <c r="I8" s="33" t="s">
        <v>267</v>
      </c>
    </row>
    <row r="9">
      <c r="A9" s="22" t="s">
        <v>268</v>
      </c>
      <c r="B9" s="32">
        <f>'Budget Evidence'!E12*'Budget Evidence'!E7</f>
        <v>15000</v>
      </c>
      <c r="C9" s="32">
        <f>'Budget Evidence'!E12*'Budget Evidence'!E8</f>
        <v>45000</v>
      </c>
      <c r="D9" s="32">
        <f t="shared" si="1"/>
        <v>60000</v>
      </c>
      <c r="E9" s="32"/>
      <c r="F9" s="32">
        <f t="shared" si="2"/>
        <v>15000</v>
      </c>
      <c r="G9" s="32">
        <f t="shared" si="4"/>
        <v>45000</v>
      </c>
      <c r="H9" s="32">
        <f t="shared" si="3"/>
        <v>60000</v>
      </c>
      <c r="I9" s="22" t="s">
        <v>279</v>
      </c>
    </row>
    <row r="10">
      <c r="A10" s="22" t="s">
        <v>280</v>
      </c>
      <c r="B10" s="32">
        <f>'Budget Evidence'!E13*'Budget Evidence'!E7</f>
        <v>15000</v>
      </c>
      <c r="C10" s="32">
        <f>'Budget Evidence'!E13*'Budget Evidence'!E8</f>
        <v>45000</v>
      </c>
      <c r="D10" s="32">
        <f t="shared" si="1"/>
        <v>60000</v>
      </c>
      <c r="E10" s="32"/>
      <c r="F10" s="32">
        <f t="shared" si="2"/>
        <v>15000</v>
      </c>
      <c r="G10" s="32">
        <f t="shared" si="4"/>
        <v>45000</v>
      </c>
      <c r="H10" s="32">
        <f t="shared" si="3"/>
        <v>60000</v>
      </c>
      <c r="I10" s="33" t="s">
        <v>281</v>
      </c>
    </row>
    <row r="11">
      <c r="A11" s="22" t="s">
        <v>282</v>
      </c>
      <c r="B11" s="32">
        <f>SUM('Budget Evidence'!E14:E19)*'Budget Evidence'!E7</f>
        <v>9000</v>
      </c>
      <c r="C11" s="32">
        <f>SUM('Budget Evidence'!E14:E19)*'Budget Evidence'!E8</f>
        <v>27000</v>
      </c>
      <c r="D11" s="32">
        <f t="shared" si="1"/>
        <v>36000</v>
      </c>
      <c r="E11" s="32"/>
      <c r="F11" s="32">
        <f t="shared" si="2"/>
        <v>9000</v>
      </c>
      <c r="G11" s="32">
        <f t="shared" si="4"/>
        <v>27000</v>
      </c>
      <c r="H11" s="32">
        <f t="shared" si="3"/>
        <v>36000</v>
      </c>
      <c r="I11" s="22" t="s">
        <v>284</v>
      </c>
    </row>
    <row r="12">
      <c r="A12" s="22" t="s">
        <v>285</v>
      </c>
      <c r="B12" s="32">
        <f>'Budget Evidence'!E28</f>
        <v>15000</v>
      </c>
      <c r="C12" s="32">
        <f>'Budget Evidence'!E29</f>
        <v>35000</v>
      </c>
      <c r="D12" s="32">
        <f t="shared" si="1"/>
        <v>50000</v>
      </c>
      <c r="E12" s="32"/>
      <c r="F12" s="32">
        <f t="shared" si="2"/>
        <v>15000</v>
      </c>
      <c r="G12" s="32">
        <f t="shared" si="4"/>
        <v>35000</v>
      </c>
      <c r="H12" s="32">
        <f t="shared" si="3"/>
        <v>50000</v>
      </c>
      <c r="I12" s="22" t="s">
        <v>289</v>
      </c>
    </row>
    <row r="13">
      <c r="A13" s="22" t="s">
        <v>290</v>
      </c>
      <c r="B13" s="32">
        <v>0.0</v>
      </c>
      <c r="C13" s="32">
        <f>'Budget Evidence'!E30</f>
        <v>50000</v>
      </c>
      <c r="D13" s="32">
        <f t="shared" si="1"/>
        <v>50000</v>
      </c>
      <c r="E13" s="32"/>
      <c r="F13" s="32">
        <f t="shared" si="2"/>
        <v>0</v>
      </c>
      <c r="G13" s="32">
        <f t="shared" si="4"/>
        <v>50000</v>
      </c>
      <c r="H13" s="32">
        <f t="shared" si="3"/>
        <v>50000</v>
      </c>
      <c r="I13" s="22" t="s">
        <v>292</v>
      </c>
    </row>
    <row r="14">
      <c r="A14" s="23" t="s">
        <v>294</v>
      </c>
      <c r="B14" s="40">
        <f t="shared" ref="B14:C14" si="5">SUM(B6:B13)</f>
        <v>234000</v>
      </c>
      <c r="C14" s="40">
        <f t="shared" si="5"/>
        <v>502000</v>
      </c>
      <c r="D14" s="40">
        <f t="shared" si="1"/>
        <v>736000</v>
      </c>
      <c r="E14" s="40"/>
      <c r="F14" s="40">
        <f t="shared" ref="F14:G14" si="6">SUM(F6:F13)</f>
        <v>234000</v>
      </c>
      <c r="G14" s="40">
        <f t="shared" si="6"/>
        <v>677000</v>
      </c>
      <c r="H14" s="40">
        <f t="shared" si="3"/>
        <v>911000</v>
      </c>
      <c r="I14" s="23" t="s">
        <v>302</v>
      </c>
    </row>
    <row r="15">
      <c r="A15" s="23" t="s">
        <v>303</v>
      </c>
      <c r="B15" s="40">
        <f>'Budget Evidence'!E6</f>
        <v>300000</v>
      </c>
      <c r="C15" s="40">
        <f>'Budget Evidence'!E5-B15</f>
        <v>650000</v>
      </c>
      <c r="D15" s="40">
        <f t="shared" si="1"/>
        <v>950000</v>
      </c>
      <c r="E15" s="40"/>
      <c r="F15" s="40">
        <f t="shared" ref="F15:G15" si="7">B15</f>
        <v>300000</v>
      </c>
      <c r="G15" s="40">
        <f t="shared" si="7"/>
        <v>650000</v>
      </c>
      <c r="H15" s="40">
        <f t="shared" si="3"/>
        <v>950000</v>
      </c>
      <c r="I15" s="23" t="s">
        <v>310</v>
      </c>
    </row>
    <row r="16">
      <c r="A16" s="23" t="s">
        <v>311</v>
      </c>
      <c r="B16" s="40">
        <f t="shared" ref="B16:D16" si="8">B15-B14</f>
        <v>66000</v>
      </c>
      <c r="C16" s="40">
        <f t="shared" si="8"/>
        <v>148000</v>
      </c>
      <c r="D16" s="40">
        <f t="shared" si="8"/>
        <v>214000</v>
      </c>
      <c r="E16" s="40"/>
      <c r="F16" s="40">
        <f t="shared" ref="F16:H16" si="9">F15-F14</f>
        <v>66000</v>
      </c>
      <c r="G16" s="40">
        <f t="shared" si="9"/>
        <v>-27000</v>
      </c>
      <c r="H16" s="40">
        <f t="shared" si="9"/>
        <v>39000</v>
      </c>
      <c r="I16" s="23" t="s">
        <v>316</v>
      </c>
    </row>
    <row r="17">
      <c r="A17" s="23" t="s">
        <v>317</v>
      </c>
      <c r="B17" s="40">
        <f t="shared" ref="B17:D17" si="10">SUM(B14,B16)</f>
        <v>300000</v>
      </c>
      <c r="C17" s="40">
        <f t="shared" si="10"/>
        <v>650000</v>
      </c>
      <c r="D17" s="40">
        <f t="shared" si="10"/>
        <v>950000</v>
      </c>
      <c r="E17" s="40"/>
      <c r="F17" s="40">
        <f t="shared" ref="F17:H17" si="11">SUM(F14,F16)</f>
        <v>300000</v>
      </c>
      <c r="G17" s="40">
        <f t="shared" si="11"/>
        <v>650000</v>
      </c>
      <c r="H17" s="40">
        <f t="shared" si="11"/>
        <v>950000</v>
      </c>
      <c r="I17" s="23" t="s">
        <v>322</v>
      </c>
    </row>
    <row r="18">
      <c r="A18" s="23" t="s">
        <v>324</v>
      </c>
      <c r="B18" s="40">
        <f t="shared" ref="B18:D18" si="12">B15-B17</f>
        <v>0</v>
      </c>
      <c r="C18" s="40">
        <f t="shared" si="12"/>
        <v>0</v>
      </c>
      <c r="D18" s="40">
        <f t="shared" si="12"/>
        <v>0</v>
      </c>
      <c r="E18" s="40"/>
      <c r="F18" s="40">
        <f t="shared" ref="F18:H18" si="13">F15-F17</f>
        <v>0</v>
      </c>
      <c r="G18" s="40">
        <f t="shared" si="13"/>
        <v>0</v>
      </c>
      <c r="H18" s="40">
        <f t="shared" si="13"/>
        <v>0</v>
      </c>
      <c r="I18" s="23" t="s">
        <v>328</v>
      </c>
    </row>
    <row r="19">
      <c r="A19" s="22" t="s">
        <v>54</v>
      </c>
      <c r="B19" s="22" t="s">
        <v>54</v>
      </c>
      <c r="C19" s="22" t="s">
        <v>54</v>
      </c>
      <c r="D19" s="22" t="s">
        <v>54</v>
      </c>
      <c r="E19" s="22"/>
      <c r="F19" s="22" t="s">
        <v>54</v>
      </c>
      <c r="G19" s="22" t="s">
        <v>54</v>
      </c>
      <c r="H19" s="22" t="s">
        <v>54</v>
      </c>
      <c r="I19" s="22" t="s">
        <v>54</v>
      </c>
    </row>
    <row r="20">
      <c r="A20" s="23" t="s">
        <v>336</v>
      </c>
    </row>
    <row r="21">
      <c r="A21" s="22" t="s">
        <v>337</v>
      </c>
      <c r="B21" s="27">
        <f>'Budget Evidence'!E9</f>
        <v>150</v>
      </c>
      <c r="C21" s="27">
        <f>'Budget Evidence'!E10-B21</f>
        <v>850</v>
      </c>
      <c r="D21" s="27">
        <f>SUM(B21:C21)</f>
        <v>1000</v>
      </c>
      <c r="E21" s="22"/>
      <c r="F21" s="27">
        <f>B21</f>
        <v>150</v>
      </c>
      <c r="G21" s="27">
        <f>'Budget Evidence'!E11-F21</f>
        <v>1850</v>
      </c>
      <c r="H21" s="27">
        <f>SUM(F21:G21)</f>
        <v>2000</v>
      </c>
      <c r="I21" s="22" t="s">
        <v>344</v>
      </c>
    </row>
    <row r="22">
      <c r="A22" s="22" t="s">
        <v>345</v>
      </c>
      <c r="B22" s="32">
        <f t="shared" ref="B22:D22" si="14">B6/B21</f>
        <v>700</v>
      </c>
      <c r="C22" s="32">
        <f t="shared" si="14"/>
        <v>176.4705882</v>
      </c>
      <c r="D22" s="32">
        <f t="shared" si="14"/>
        <v>255</v>
      </c>
      <c r="E22" s="32"/>
      <c r="F22" s="32">
        <f t="shared" ref="F22:H22" si="15">F6/F21</f>
        <v>700</v>
      </c>
      <c r="G22" s="32">
        <f t="shared" si="15"/>
        <v>151.3513514</v>
      </c>
      <c r="H22" s="32">
        <f t="shared" si="15"/>
        <v>192.5</v>
      </c>
      <c r="I22" s="22" t="s">
        <v>356</v>
      </c>
    </row>
    <row r="23">
      <c r="A23" s="22" t="s">
        <v>358</v>
      </c>
      <c r="B23" s="32">
        <f t="shared" ref="B23:D23" si="16">SUM(B6:B7)/B21</f>
        <v>1000</v>
      </c>
      <c r="C23" s="32">
        <f t="shared" si="16"/>
        <v>282.3529412</v>
      </c>
      <c r="D23" s="32">
        <f t="shared" si="16"/>
        <v>390</v>
      </c>
      <c r="E23" s="32"/>
      <c r="F23" s="32">
        <f t="shared" ref="F23:H23" si="17">SUM(F6:F7)/F21</f>
        <v>1000</v>
      </c>
      <c r="G23" s="32">
        <f t="shared" si="17"/>
        <v>224.3243243</v>
      </c>
      <c r="H23" s="32">
        <f t="shared" si="17"/>
        <v>282.5</v>
      </c>
      <c r="I23" s="22" t="s">
        <v>362</v>
      </c>
    </row>
    <row r="24">
      <c r="A24" s="22" t="s">
        <v>363</v>
      </c>
      <c r="B24" s="57">
        <f>B21/'Budget Evidence'!E7</f>
        <v>50</v>
      </c>
      <c r="C24" s="57">
        <f>C21/'Budget Evidence'!E8</f>
        <v>94.44444444</v>
      </c>
      <c r="D24" s="57">
        <f>D21/SUM('Budget Evidence'!E7:E8)</f>
        <v>83.33333333</v>
      </c>
      <c r="E24" s="57"/>
      <c r="F24" s="57">
        <f>F21/'Budget Evidence'!E7</f>
        <v>50</v>
      </c>
      <c r="G24" s="57">
        <f>G21/'Budget Evidence'!E8</f>
        <v>205.5555556</v>
      </c>
      <c r="H24" s="57">
        <f>H21/SUM('Budget Evidence'!E7:E8)</f>
        <v>166.6666667</v>
      </c>
      <c r="I24" s="22" t="s">
        <v>371</v>
      </c>
    </row>
    <row r="25">
      <c r="A25" s="22" t="s">
        <v>373</v>
      </c>
      <c r="B25" s="32">
        <v>0.0</v>
      </c>
      <c r="C25" s="32">
        <f>B16</f>
        <v>66000</v>
      </c>
      <c r="D25" s="32" t="s">
        <v>54</v>
      </c>
      <c r="E25" s="32"/>
      <c r="F25" s="32">
        <f>B25</f>
        <v>0</v>
      </c>
      <c r="G25" s="32">
        <f>F16</f>
        <v>66000</v>
      </c>
      <c r="H25" s="32" t="s">
        <v>54</v>
      </c>
      <c r="I25" s="22" t="s">
        <v>375</v>
      </c>
    </row>
    <row r="26">
      <c r="A26" s="22" t="s">
        <v>376</v>
      </c>
      <c r="B26" s="32">
        <f>B15-B14</f>
        <v>66000</v>
      </c>
      <c r="C26" s="32">
        <f>C25+C15-C14</f>
        <v>214000</v>
      </c>
      <c r="D26" s="32">
        <f>C26</f>
        <v>214000</v>
      </c>
      <c r="E26" s="32"/>
      <c r="F26" s="32">
        <f>F15-F14</f>
        <v>66000</v>
      </c>
      <c r="G26" s="32">
        <f>G25+G15-G14</f>
        <v>39000</v>
      </c>
      <c r="H26" s="32">
        <f>G26</f>
        <v>39000</v>
      </c>
      <c r="I26" s="22" t="s">
        <v>382</v>
      </c>
    </row>
    <row r="27">
      <c r="A27" s="22" t="s">
        <v>383</v>
      </c>
      <c r="B27" s="32">
        <f t="shared" ref="B27:D27" si="18">SUM(B9:B10)</f>
        <v>30000</v>
      </c>
      <c r="C27" s="32">
        <f t="shared" si="18"/>
        <v>90000</v>
      </c>
      <c r="D27" s="32">
        <f t="shared" si="18"/>
        <v>120000</v>
      </c>
      <c r="E27" s="32"/>
      <c r="F27" s="32">
        <f t="shared" ref="F27:H27" si="19">SUM(F9:F10)</f>
        <v>30000</v>
      </c>
      <c r="G27" s="32">
        <f t="shared" si="19"/>
        <v>90000</v>
      </c>
      <c r="H27" s="32">
        <f t="shared" si="19"/>
        <v>120000</v>
      </c>
      <c r="I27" s="22" t="s">
        <v>385</v>
      </c>
    </row>
    <row r="28">
      <c r="A28" s="22" t="s">
        <v>54</v>
      </c>
      <c r="B28" s="22" t="s">
        <v>54</v>
      </c>
      <c r="C28" s="22" t="s">
        <v>54</v>
      </c>
      <c r="D28" s="22" t="s">
        <v>54</v>
      </c>
      <c r="E28" s="22"/>
      <c r="F28" s="22" t="s">
        <v>54</v>
      </c>
      <c r="G28" s="22" t="s">
        <v>54</v>
      </c>
      <c r="H28" s="22" t="s">
        <v>54</v>
      </c>
      <c r="I28" s="22" t="s">
        <v>54</v>
      </c>
    </row>
    <row r="29">
      <c r="A29" s="23" t="s">
        <v>387</v>
      </c>
      <c r="B29" s="23" t="s">
        <v>388</v>
      </c>
      <c r="C29" s="23" t="s">
        <v>390</v>
      </c>
      <c r="D29" s="23" t="s">
        <v>391</v>
      </c>
      <c r="E29" s="23"/>
      <c r="F29" s="23" t="s">
        <v>54</v>
      </c>
      <c r="G29" s="23" t="s">
        <v>54</v>
      </c>
      <c r="H29" s="23" t="s">
        <v>54</v>
      </c>
      <c r="I29" s="23" t="s">
        <v>54</v>
      </c>
    </row>
    <row r="30">
      <c r="A30" s="22" t="s">
        <v>149</v>
      </c>
      <c r="B30" s="60">
        <f>'Budget Evidence'!E14</f>
        <v>900</v>
      </c>
      <c r="C30" s="60">
        <f>B30*SUM('Budget Evidence'!E7:E8)</f>
        <v>10800</v>
      </c>
      <c r="D30" s="22" t="s">
        <v>395</v>
      </c>
      <c r="E30" s="22"/>
      <c r="F30" s="22" t="s">
        <v>54</v>
      </c>
      <c r="G30" s="22" t="s">
        <v>54</v>
      </c>
      <c r="H30" s="22" t="s">
        <v>54</v>
      </c>
      <c r="I30" s="22" t="s">
        <v>54</v>
      </c>
    </row>
    <row r="31">
      <c r="A31" s="22" t="s">
        <v>156</v>
      </c>
      <c r="B31" s="60">
        <f>'Budget Evidence'!E15</f>
        <v>600</v>
      </c>
      <c r="C31" s="60">
        <f>B31*SUM('Budget Evidence'!E7:E8)</f>
        <v>7200</v>
      </c>
      <c r="D31" s="22" t="s">
        <v>400</v>
      </c>
      <c r="E31" s="22"/>
      <c r="F31" s="22" t="s">
        <v>54</v>
      </c>
      <c r="G31" s="22" t="s">
        <v>54</v>
      </c>
      <c r="H31" s="22" t="s">
        <v>54</v>
      </c>
      <c r="I31" s="22" t="s">
        <v>54</v>
      </c>
    </row>
    <row r="32">
      <c r="A32" s="22" t="s">
        <v>159</v>
      </c>
      <c r="B32" s="60">
        <f>'Budget Evidence'!E16</f>
        <v>450</v>
      </c>
      <c r="C32" s="60">
        <f>B32*SUM('Budget Evidence'!E7:E8)</f>
        <v>5400</v>
      </c>
      <c r="D32" s="22" t="s">
        <v>406</v>
      </c>
      <c r="E32" s="22"/>
      <c r="F32" s="22" t="s">
        <v>54</v>
      </c>
      <c r="G32" s="22" t="s">
        <v>54</v>
      </c>
      <c r="H32" s="22" t="s">
        <v>54</v>
      </c>
      <c r="I32" s="22" t="s">
        <v>54</v>
      </c>
    </row>
    <row r="33">
      <c r="A33" s="22" t="s">
        <v>161</v>
      </c>
      <c r="B33" s="60">
        <f>'Budget Evidence'!E17</f>
        <v>600</v>
      </c>
      <c r="C33" s="60">
        <f>B33*SUM('Budget Evidence'!E7:E8)</f>
        <v>7200</v>
      </c>
      <c r="D33" s="22" t="s">
        <v>411</v>
      </c>
      <c r="E33" s="22"/>
      <c r="F33" s="22" t="s">
        <v>54</v>
      </c>
      <c r="G33" s="22" t="s">
        <v>54</v>
      </c>
      <c r="H33" s="22" t="s">
        <v>54</v>
      </c>
      <c r="I33" s="22" t="s">
        <v>54</v>
      </c>
    </row>
    <row r="34">
      <c r="A34" s="22" t="s">
        <v>165</v>
      </c>
      <c r="B34" s="60">
        <f>'Budget Evidence'!E18</f>
        <v>150</v>
      </c>
      <c r="C34" s="60">
        <f>B34*SUM('Budget Evidence'!E7:E8)</f>
        <v>1800</v>
      </c>
      <c r="D34" s="22" t="s">
        <v>416</v>
      </c>
      <c r="E34" s="22"/>
      <c r="F34" s="22" t="s">
        <v>54</v>
      </c>
      <c r="G34" s="22" t="s">
        <v>54</v>
      </c>
      <c r="H34" s="22" t="s">
        <v>54</v>
      </c>
      <c r="I34" s="22" t="s">
        <v>54</v>
      </c>
    </row>
    <row r="35">
      <c r="A35" s="22" t="s">
        <v>167</v>
      </c>
      <c r="B35" s="60">
        <f>'Budget Evidence'!E19</f>
        <v>300</v>
      </c>
      <c r="C35" s="60">
        <f>B35*SUM('Budget Evidence'!E7:E8)</f>
        <v>3600</v>
      </c>
      <c r="D35" s="22" t="s">
        <v>424</v>
      </c>
      <c r="E35" s="22"/>
      <c r="F35" s="22" t="s">
        <v>54</v>
      </c>
      <c r="G35" s="22" t="s">
        <v>54</v>
      </c>
      <c r="H35" s="22" t="s">
        <v>54</v>
      </c>
      <c r="I35" s="22" t="s">
        <v>54</v>
      </c>
    </row>
    <row r="36">
      <c r="A36" s="23" t="s">
        <v>427</v>
      </c>
      <c r="B36" s="61">
        <f t="shared" ref="B36:C36" si="20">SUM(B30:B35)</f>
        <v>3000</v>
      </c>
      <c r="C36" s="61">
        <f t="shared" si="20"/>
        <v>36000</v>
      </c>
      <c r="D36" s="23" t="s">
        <v>434</v>
      </c>
      <c r="E36" s="23"/>
      <c r="F36" s="23" t="s">
        <v>54</v>
      </c>
      <c r="G36" s="23" t="s">
        <v>54</v>
      </c>
      <c r="H36" s="23" t="s">
        <v>54</v>
      </c>
      <c r="I36" s="23" t="s">
        <v>54</v>
      </c>
    </row>
    <row r="37">
      <c r="A37" s="22" t="s">
        <v>54</v>
      </c>
      <c r="B37" s="22" t="s">
        <v>54</v>
      </c>
      <c r="C37" s="22" t="s">
        <v>54</v>
      </c>
      <c r="D37" s="22" t="s">
        <v>54</v>
      </c>
      <c r="E37" s="22"/>
      <c r="F37" s="22" t="s">
        <v>54</v>
      </c>
      <c r="G37" s="22" t="s">
        <v>54</v>
      </c>
      <c r="H37" s="22" t="s">
        <v>54</v>
      </c>
      <c r="I37" s="22" t="s">
        <v>54</v>
      </c>
    </row>
    <row r="38">
      <c r="A38" s="23" t="s">
        <v>442</v>
      </c>
    </row>
    <row r="39">
      <c r="A39" s="22" t="s">
        <v>446</v>
      </c>
      <c r="B39" s="27">
        <f>'Budget Evidence'!E31</f>
        <v>86</v>
      </c>
      <c r="C39" s="22" t="s">
        <v>449</v>
      </c>
    </row>
    <row r="40">
      <c r="A40" s="22" t="s">
        <v>451</v>
      </c>
      <c r="B40" s="22" t="s">
        <v>452</v>
      </c>
    </row>
    <row r="41">
      <c r="A41" s="22" t="s">
        <v>454</v>
      </c>
      <c r="B41" s="22">
        <v>0.0</v>
      </c>
      <c r="C41" s="22" t="s">
        <v>455</v>
      </c>
    </row>
    <row r="42">
      <c r="A42" s="22" t="s">
        <v>457</v>
      </c>
      <c r="B42" s="22" t="s">
        <v>458</v>
      </c>
    </row>
    <row r="43">
      <c r="A43" s="22" t="s">
        <v>54</v>
      </c>
      <c r="B43" s="22" t="s">
        <v>54</v>
      </c>
      <c r="C43" s="22" t="s">
        <v>54</v>
      </c>
      <c r="D43" s="22" t="s">
        <v>54</v>
      </c>
      <c r="E43" s="22"/>
      <c r="F43" s="22" t="s">
        <v>54</v>
      </c>
      <c r="G43" s="22" t="s">
        <v>54</v>
      </c>
      <c r="H43" s="22" t="s">
        <v>54</v>
      </c>
      <c r="I43" s="22" t="s">
        <v>54</v>
      </c>
    </row>
    <row r="44">
      <c r="A44" s="23" t="s">
        <v>459</v>
      </c>
    </row>
    <row r="45">
      <c r="A45" s="22" t="s">
        <v>460</v>
      </c>
    </row>
    <row r="46">
      <c r="A46" s="22" t="s">
        <v>461</v>
      </c>
    </row>
    <row r="47">
      <c r="A47" s="22" t="s">
        <v>462</v>
      </c>
    </row>
    <row r="48">
      <c r="A48" s="22" t="s">
        <v>463</v>
      </c>
    </row>
    <row r="49">
      <c r="A49" s="22" t="s">
        <v>466</v>
      </c>
    </row>
  </sheetData>
  <mergeCells count="15">
    <mergeCell ref="C41:I41"/>
    <mergeCell ref="B42:I42"/>
    <mergeCell ref="A44:I44"/>
    <mergeCell ref="A45:I45"/>
    <mergeCell ref="A46:I46"/>
    <mergeCell ref="A47:I47"/>
    <mergeCell ref="A48:I48"/>
    <mergeCell ref="A49:I49"/>
    <mergeCell ref="A1:I1"/>
    <mergeCell ref="A2:I2"/>
    <mergeCell ref="A3:I3"/>
    <mergeCell ref="A20:I20"/>
    <mergeCell ref="A38:I38"/>
    <mergeCell ref="C39:I39"/>
    <mergeCell ref="B40:I40"/>
  </mergeCells>
  <conditionalFormatting sqref="B16:H16 B26:H26">
    <cfRule type="cellIs" dxfId="0" priority="1" stopIfTrue="1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10" width="15.75"/>
  </cols>
  <sheetData>
    <row r="1" ht="25.5" customHeight="1">
      <c r="A1" s="34" t="s">
        <v>283</v>
      </c>
      <c r="B1" s="35" t="s">
        <v>54</v>
      </c>
      <c r="C1" s="35" t="s">
        <v>54</v>
      </c>
      <c r="D1" s="35" t="s">
        <v>54</v>
      </c>
      <c r="E1" s="35" t="s">
        <v>54</v>
      </c>
      <c r="F1" s="35" t="s">
        <v>54</v>
      </c>
      <c r="G1" s="35" t="s">
        <v>54</v>
      </c>
      <c r="H1" s="35" t="s">
        <v>54</v>
      </c>
      <c r="I1" s="35" t="s">
        <v>54</v>
      </c>
      <c r="J1" s="35" t="s">
        <v>54</v>
      </c>
    </row>
    <row r="2" ht="25.5" customHeight="1">
      <c r="A2" s="21" t="s">
        <v>286</v>
      </c>
    </row>
    <row r="3" ht="25.5" customHeight="1">
      <c r="A3" s="21" t="s">
        <v>287</v>
      </c>
      <c r="B3" s="37">
        <f>'Revenue Model'!F15</f>
        <v>150</v>
      </c>
      <c r="C3" s="38" t="s">
        <v>54</v>
      </c>
      <c r="D3" s="38" t="s">
        <v>54</v>
      </c>
      <c r="E3" s="38" t="s">
        <v>54</v>
      </c>
      <c r="F3" s="38" t="s">
        <v>54</v>
      </c>
      <c r="G3" s="38" t="s">
        <v>54</v>
      </c>
      <c r="H3" s="38" t="s">
        <v>54</v>
      </c>
      <c r="I3" s="38" t="s">
        <v>54</v>
      </c>
      <c r="J3" s="38" t="s">
        <v>54</v>
      </c>
    </row>
    <row r="4" ht="25.5" customHeight="1">
      <c r="A4" s="21" t="s">
        <v>297</v>
      </c>
      <c r="B4" s="39">
        <v>7.0</v>
      </c>
      <c r="C4" s="38" t="s">
        <v>54</v>
      </c>
      <c r="D4" s="38" t="s">
        <v>54</v>
      </c>
      <c r="E4" s="38" t="s">
        <v>54</v>
      </c>
      <c r="F4" s="38" t="s">
        <v>54</v>
      </c>
      <c r="G4" s="38" t="s">
        <v>54</v>
      </c>
      <c r="H4" s="38" t="s">
        <v>54</v>
      </c>
      <c r="I4" s="38" t="s">
        <v>54</v>
      </c>
      <c r="J4" s="38" t="s">
        <v>54</v>
      </c>
    </row>
    <row r="5" ht="25.5" customHeight="1">
      <c r="A5" s="21" t="s">
        <v>299</v>
      </c>
      <c r="B5" s="42">
        <v>1.0</v>
      </c>
      <c r="C5" s="38" t="s">
        <v>54</v>
      </c>
      <c r="D5" s="38" t="s">
        <v>54</v>
      </c>
      <c r="E5" s="38" t="s">
        <v>54</v>
      </c>
      <c r="F5" s="38" t="s">
        <v>54</v>
      </c>
      <c r="G5" s="38" t="s">
        <v>54</v>
      </c>
      <c r="H5" s="38" t="s">
        <v>54</v>
      </c>
      <c r="I5" s="38" t="s">
        <v>54</v>
      </c>
      <c r="J5" s="38" t="s">
        <v>54</v>
      </c>
    </row>
    <row r="6" ht="25.5" customHeight="1">
      <c r="A6" s="21" t="s">
        <v>301</v>
      </c>
      <c r="B6" s="42">
        <v>1.0</v>
      </c>
      <c r="C6" s="38" t="s">
        <v>54</v>
      </c>
      <c r="D6" s="38" t="s">
        <v>54</v>
      </c>
      <c r="E6" s="38" t="s">
        <v>54</v>
      </c>
      <c r="F6" s="38" t="s">
        <v>54</v>
      </c>
      <c r="G6" s="38" t="s">
        <v>54</v>
      </c>
      <c r="H6" s="38" t="s">
        <v>54</v>
      </c>
      <c r="I6" s="38" t="s">
        <v>54</v>
      </c>
      <c r="J6" s="38" t="s">
        <v>54</v>
      </c>
    </row>
    <row r="7" ht="25.5" customHeight="1">
      <c r="A7" s="21" t="s">
        <v>304</v>
      </c>
      <c r="B7" s="42">
        <v>1.0</v>
      </c>
      <c r="C7" s="38" t="s">
        <v>54</v>
      </c>
      <c r="D7" s="38" t="s">
        <v>54</v>
      </c>
      <c r="E7" s="38" t="s">
        <v>54</v>
      </c>
      <c r="F7" s="38" t="s">
        <v>54</v>
      </c>
      <c r="G7" s="38" t="s">
        <v>54</v>
      </c>
      <c r="H7" s="38" t="s">
        <v>54</v>
      </c>
      <c r="I7" s="38" t="s">
        <v>54</v>
      </c>
      <c r="J7" s="38" t="s">
        <v>54</v>
      </c>
    </row>
    <row r="8" ht="25.5" customHeight="1">
      <c r="A8" s="21" t="s">
        <v>306</v>
      </c>
      <c r="B8" s="43">
        <v>0.0</v>
      </c>
      <c r="C8" s="38" t="s">
        <v>54</v>
      </c>
      <c r="D8" s="38" t="s">
        <v>54</v>
      </c>
      <c r="E8" s="38" t="s">
        <v>54</v>
      </c>
      <c r="F8" s="38" t="s">
        <v>54</v>
      </c>
      <c r="G8" s="38" t="s">
        <v>54</v>
      </c>
      <c r="H8" s="38" t="s">
        <v>54</v>
      </c>
      <c r="I8" s="38" t="s">
        <v>54</v>
      </c>
      <c r="J8" s="38" t="s">
        <v>54</v>
      </c>
    </row>
    <row r="9" ht="25.5" customHeight="1">
      <c r="A9" s="21" t="s">
        <v>307</v>
      </c>
      <c r="B9" s="44">
        <v>1.0</v>
      </c>
      <c r="C9" s="38" t="s">
        <v>54</v>
      </c>
      <c r="D9" s="38" t="s">
        <v>54</v>
      </c>
      <c r="E9" s="38" t="s">
        <v>54</v>
      </c>
      <c r="F9" s="38" t="s">
        <v>54</v>
      </c>
      <c r="G9" s="38" t="s">
        <v>54</v>
      </c>
      <c r="H9" s="38" t="s">
        <v>54</v>
      </c>
      <c r="I9" s="38" t="s">
        <v>54</v>
      </c>
      <c r="J9" s="38" t="s">
        <v>54</v>
      </c>
    </row>
    <row r="10" ht="25.5" customHeight="1">
      <c r="A10" s="21" t="s">
        <v>308</v>
      </c>
      <c r="B10" s="43" t="s">
        <v>54</v>
      </c>
      <c r="C10" s="38" t="s">
        <v>54</v>
      </c>
      <c r="D10" s="38" t="s">
        <v>54</v>
      </c>
      <c r="E10" s="38" t="s">
        <v>54</v>
      </c>
      <c r="F10" s="38" t="s">
        <v>54</v>
      </c>
      <c r="G10" s="38" t="s">
        <v>54</v>
      </c>
      <c r="H10" s="38" t="s">
        <v>54</v>
      </c>
      <c r="I10" s="38" t="s">
        <v>54</v>
      </c>
      <c r="J10" s="38" t="s">
        <v>54</v>
      </c>
    </row>
    <row r="11" ht="25.5" customHeight="1">
      <c r="A11" s="21" t="s">
        <v>309</v>
      </c>
      <c r="B11" s="46" t="s">
        <v>54</v>
      </c>
      <c r="C11" s="38" t="s">
        <v>54</v>
      </c>
      <c r="D11" s="38" t="s">
        <v>54</v>
      </c>
      <c r="E11" s="38" t="s">
        <v>54</v>
      </c>
      <c r="F11" s="38" t="s">
        <v>54</v>
      </c>
      <c r="G11" s="38" t="s">
        <v>54</v>
      </c>
      <c r="H11" s="38" t="s">
        <v>54</v>
      </c>
      <c r="I11" s="38" t="s">
        <v>54</v>
      </c>
      <c r="J11" s="38" t="s">
        <v>54</v>
      </c>
    </row>
    <row r="12" ht="25.5" customHeight="1">
      <c r="A12" s="21" t="s">
        <v>312</v>
      </c>
      <c r="B12" s="43" t="s">
        <v>54</v>
      </c>
      <c r="C12" s="38" t="s">
        <v>54</v>
      </c>
      <c r="D12" s="38" t="s">
        <v>54</v>
      </c>
      <c r="E12" s="38" t="s">
        <v>54</v>
      </c>
      <c r="F12" s="38" t="s">
        <v>54</v>
      </c>
      <c r="G12" s="38" t="s">
        <v>54</v>
      </c>
      <c r="H12" s="38" t="s">
        <v>54</v>
      </c>
      <c r="I12" s="38" t="s">
        <v>54</v>
      </c>
      <c r="J12" s="38" t="s">
        <v>54</v>
      </c>
    </row>
    <row r="13" ht="25.5" customHeight="1">
      <c r="A13" s="21" t="s">
        <v>314</v>
      </c>
    </row>
    <row r="14" ht="25.5" customHeight="1">
      <c r="A14" s="21" t="s">
        <v>315</v>
      </c>
      <c r="B14" s="48">
        <f>'Revenue Model'!B20</f>
        <v>2667.5</v>
      </c>
      <c r="C14" s="38" t="s">
        <v>54</v>
      </c>
      <c r="D14" s="38" t="s">
        <v>54</v>
      </c>
      <c r="E14" s="38" t="s">
        <v>54</v>
      </c>
      <c r="F14" s="38" t="s">
        <v>54</v>
      </c>
      <c r="G14" s="38" t="s">
        <v>54</v>
      </c>
      <c r="H14" s="38" t="s">
        <v>54</v>
      </c>
      <c r="I14" s="38" t="s">
        <v>54</v>
      </c>
      <c r="J14" s="38" t="s">
        <v>54</v>
      </c>
    </row>
    <row r="15" ht="25.5" customHeight="1">
      <c r="A15" s="21" t="s">
        <v>318</v>
      </c>
      <c r="B15" s="48">
        <f>'Revenue Model'!B7*B5+'Revenue Model'!B13*B6+MAX(0,'Revenue Model'!B18-B8)*B7</f>
        <v>2667.5</v>
      </c>
      <c r="C15" s="38" t="s">
        <v>54</v>
      </c>
      <c r="D15" s="38" t="s">
        <v>54</v>
      </c>
      <c r="E15" s="38" t="s">
        <v>54</v>
      </c>
      <c r="F15" s="38" t="s">
        <v>54</v>
      </c>
      <c r="G15" s="38" t="s">
        <v>54</v>
      </c>
      <c r="H15" s="38" t="s">
        <v>54</v>
      </c>
      <c r="I15" s="38" t="s">
        <v>54</v>
      </c>
      <c r="J15" s="38" t="s">
        <v>54</v>
      </c>
    </row>
    <row r="16" ht="25.5" customHeight="1">
      <c r="A16" s="21" t="s">
        <v>325</v>
      </c>
      <c r="B16" s="48">
        <f>B3*B15</f>
        <v>400125</v>
      </c>
      <c r="C16" s="38" t="s">
        <v>54</v>
      </c>
      <c r="D16" s="38" t="s">
        <v>54</v>
      </c>
      <c r="E16" s="38" t="s">
        <v>54</v>
      </c>
      <c r="F16" s="38" t="s">
        <v>54</v>
      </c>
      <c r="G16" s="38" t="s">
        <v>54</v>
      </c>
      <c r="H16" s="38" t="s">
        <v>54</v>
      </c>
      <c r="I16" s="38" t="s">
        <v>54</v>
      </c>
      <c r="J16" s="38" t="s">
        <v>54</v>
      </c>
    </row>
    <row r="17" ht="25.5" customHeight="1">
      <c r="A17" s="21" t="s">
        <v>335</v>
      </c>
      <c r="B17" s="48" t="str">
        <f>IF(COUNT(B10:B12)&lt;3,"",B3*'Revenue Model'!B4*B5*B10+B16*B11+B12)</f>
        <v/>
      </c>
      <c r="C17" s="38" t="s">
        <v>54</v>
      </c>
      <c r="D17" s="38" t="s">
        <v>54</v>
      </c>
      <c r="E17" s="38" t="s">
        <v>54</v>
      </c>
      <c r="F17" s="38" t="s">
        <v>54</v>
      </c>
      <c r="G17" s="38" t="s">
        <v>54</v>
      </c>
      <c r="H17" s="38" t="s">
        <v>54</v>
      </c>
      <c r="I17" s="38" t="s">
        <v>54</v>
      </c>
      <c r="J17" s="38" t="s">
        <v>54</v>
      </c>
    </row>
    <row r="18" ht="25.5" customHeight="1">
      <c r="A18" s="21" t="s">
        <v>342</v>
      </c>
      <c r="B18" s="48" t="str">
        <f>IF(B17="","",B16-B17)</f>
        <v/>
      </c>
      <c r="C18" s="38" t="s">
        <v>54</v>
      </c>
      <c r="D18" s="38" t="s">
        <v>54</v>
      </c>
      <c r="E18" s="38" t="s">
        <v>54</v>
      </c>
      <c r="F18" s="38" t="s">
        <v>54</v>
      </c>
      <c r="G18" s="38" t="s">
        <v>54</v>
      </c>
      <c r="H18" s="38" t="s">
        <v>54</v>
      </c>
      <c r="I18" s="38" t="s">
        <v>54</v>
      </c>
      <c r="J18" s="38" t="s">
        <v>54</v>
      </c>
    </row>
    <row r="19" ht="25.5" customHeight="1">
      <c r="A19" s="21" t="s">
        <v>343</v>
      </c>
      <c r="B19" s="52" t="str">
        <f>IF(OR(B17="",B16=0),"",B18/B16)</f>
        <v/>
      </c>
      <c r="C19" s="38" t="s">
        <v>54</v>
      </c>
      <c r="D19" s="38" t="s">
        <v>54</v>
      </c>
      <c r="E19" s="38" t="s">
        <v>54</v>
      </c>
      <c r="F19" s="38" t="s">
        <v>54</v>
      </c>
      <c r="G19" s="38" t="s">
        <v>54</v>
      </c>
      <c r="H19" s="38" t="s">
        <v>54</v>
      </c>
      <c r="I19" s="38" t="s">
        <v>54</v>
      </c>
      <c r="J19" s="38" t="s">
        <v>54</v>
      </c>
    </row>
    <row r="20" ht="25.5" customHeight="1">
      <c r="A20" s="21" t="s">
        <v>347</v>
      </c>
    </row>
    <row r="21" ht="25.5" customHeight="1">
      <c r="A21" s="34" t="s">
        <v>348</v>
      </c>
      <c r="B21" s="53" t="s">
        <v>349</v>
      </c>
      <c r="C21" s="53" t="s">
        <v>350</v>
      </c>
      <c r="D21" s="53" t="s">
        <v>351</v>
      </c>
      <c r="E21" s="53" t="s">
        <v>352</v>
      </c>
      <c r="F21" s="53" t="s">
        <v>353</v>
      </c>
      <c r="G21" s="53" t="s">
        <v>354</v>
      </c>
      <c r="H21" s="53" t="s">
        <v>355</v>
      </c>
      <c r="I21" s="53" t="s">
        <v>357</v>
      </c>
      <c r="J21" s="35" t="s">
        <v>359</v>
      </c>
    </row>
    <row r="22" ht="25.5" customHeight="1">
      <c r="A22" s="54" t="s">
        <v>360</v>
      </c>
      <c r="B22" s="55">
        <v>1.0</v>
      </c>
      <c r="C22" s="55">
        <v>1.0</v>
      </c>
      <c r="D22" s="55">
        <v>1.0</v>
      </c>
      <c r="E22" s="55">
        <v>1.0</v>
      </c>
      <c r="F22" s="55">
        <v>1.0</v>
      </c>
      <c r="G22" s="55">
        <v>1.0</v>
      </c>
      <c r="H22" s="56">
        <f>'Revenue Model'!B4-SUM(B22:G22)</f>
        <v>2</v>
      </c>
      <c r="I22" s="55">
        <v>0.0</v>
      </c>
      <c r="J22" s="56">
        <f t="shared" ref="J22:J32" si="1">SUM(B22:I22)</f>
        <v>8</v>
      </c>
    </row>
    <row r="23" ht="25.5" customHeight="1">
      <c r="A23" s="54" t="s">
        <v>366</v>
      </c>
      <c r="B23" s="42">
        <v>1.0</v>
      </c>
      <c r="C23" s="42">
        <v>0.0</v>
      </c>
      <c r="D23" s="42">
        <v>0.0</v>
      </c>
      <c r="E23" s="42">
        <v>0.0</v>
      </c>
      <c r="F23" s="42">
        <v>0.0</v>
      </c>
      <c r="G23" s="42">
        <v>0.0</v>
      </c>
      <c r="H23" s="42">
        <v>0.0</v>
      </c>
      <c r="I23" s="42">
        <v>0.0</v>
      </c>
      <c r="J23" s="58">
        <f t="shared" si="1"/>
        <v>1</v>
      </c>
    </row>
    <row r="24" ht="25.5" customHeight="1">
      <c r="A24" s="54" t="s">
        <v>367</v>
      </c>
      <c r="B24" s="59">
        <f t="shared" ref="B24:H24" si="2">1/$B$4</f>
        <v>0.1428571429</v>
      </c>
      <c r="C24" s="59">
        <f t="shared" si="2"/>
        <v>0.1428571429</v>
      </c>
      <c r="D24" s="59">
        <f t="shared" si="2"/>
        <v>0.1428571429</v>
      </c>
      <c r="E24" s="59">
        <f t="shared" si="2"/>
        <v>0.1428571429</v>
      </c>
      <c r="F24" s="59">
        <f t="shared" si="2"/>
        <v>0.1428571429</v>
      </c>
      <c r="G24" s="59">
        <f t="shared" si="2"/>
        <v>0.1428571429</v>
      </c>
      <c r="H24" s="59">
        <f t="shared" si="2"/>
        <v>0.1428571429</v>
      </c>
      <c r="I24" s="46">
        <v>0.0</v>
      </c>
      <c r="J24" s="59">
        <f t="shared" si="1"/>
        <v>1</v>
      </c>
    </row>
    <row r="25" ht="25.5" customHeight="1">
      <c r="A25" s="54" t="s">
        <v>370</v>
      </c>
      <c r="B25" s="48">
        <f>$B$3*'Revenue Model'!B7*$B$5*B22/'Revenue Model'!B4</f>
        <v>42187.5</v>
      </c>
      <c r="C25" s="48">
        <f>$B$3*'Revenue Model'!B7*$B$5*C22/'Revenue Model'!B4</f>
        <v>42187.5</v>
      </c>
      <c r="D25" s="48">
        <f>$B$3*'Revenue Model'!B7*$B$5*D22/'Revenue Model'!B4</f>
        <v>42187.5</v>
      </c>
      <c r="E25" s="48">
        <f>$B$3*'Revenue Model'!B7*$B$5*E22/'Revenue Model'!B4</f>
        <v>42187.5</v>
      </c>
      <c r="F25" s="48">
        <f>$B$3*'Revenue Model'!B7*$B$5*F22/'Revenue Model'!B4</f>
        <v>42187.5</v>
      </c>
      <c r="G25" s="48">
        <f>$B$3*'Revenue Model'!B7*$B$5*G22/'Revenue Model'!B4</f>
        <v>42187.5</v>
      </c>
      <c r="H25" s="48">
        <f>$B$3*'Revenue Model'!B7*$B$5*H22/'Revenue Model'!B4</f>
        <v>84375</v>
      </c>
      <c r="I25" s="48">
        <f>$B$3*'Revenue Model'!B7*$B$5*I22/'Revenue Model'!B4</f>
        <v>0</v>
      </c>
      <c r="J25" s="48">
        <f t="shared" si="1"/>
        <v>337500</v>
      </c>
    </row>
    <row r="26" ht="25.5" customHeight="1">
      <c r="A26" s="54" t="s">
        <v>389</v>
      </c>
      <c r="B26" s="48">
        <f>$B$3*'Revenue Model'!B13*$B$6*B23</f>
        <v>6375</v>
      </c>
      <c r="C26" s="48">
        <f>$B$3*'Revenue Model'!B13*$B$6*C23</f>
        <v>0</v>
      </c>
      <c r="D26" s="48">
        <f>$B$3*'Revenue Model'!B13*$B$6*D23</f>
        <v>0</v>
      </c>
      <c r="E26" s="48">
        <f>$B$3*'Revenue Model'!B13*$B$6*E23</f>
        <v>0</v>
      </c>
      <c r="F26" s="48">
        <f>$B$3*'Revenue Model'!B13*$B$6*F23</f>
        <v>0</v>
      </c>
      <c r="G26" s="48">
        <f>$B$3*'Revenue Model'!B13*$B$6*G23</f>
        <v>0</v>
      </c>
      <c r="H26" s="48">
        <f>$B$3*'Revenue Model'!B13*$B$6*H23</f>
        <v>0</v>
      </c>
      <c r="I26" s="48">
        <f>$B$3*'Revenue Model'!B13*$B$6*I23</f>
        <v>0</v>
      </c>
      <c r="J26" s="48">
        <f t="shared" si="1"/>
        <v>6375</v>
      </c>
    </row>
    <row r="27" ht="25.5" customHeight="1">
      <c r="A27" s="54" t="s">
        <v>418</v>
      </c>
      <c r="B27" s="48">
        <f>$B$3*MAX(0,'Revenue Model'!B18-$B$8)*$B$7*B24</f>
        <v>8035.714286</v>
      </c>
      <c r="C27" s="48">
        <f>$B$3*MAX(0,'Revenue Model'!B18-$B$8)*$B$7*C24</f>
        <v>8035.714286</v>
      </c>
      <c r="D27" s="48">
        <f>$B$3*MAX(0,'Revenue Model'!B18-$B$8)*$B$7*D24</f>
        <v>8035.714286</v>
      </c>
      <c r="E27" s="48">
        <f>$B$3*MAX(0,'Revenue Model'!B18-$B$8)*$B$7*E24</f>
        <v>8035.714286</v>
      </c>
      <c r="F27" s="48">
        <f>$B$3*MAX(0,'Revenue Model'!B18-$B$8)*$B$7*F24</f>
        <v>8035.714286</v>
      </c>
      <c r="G27" s="48">
        <f>$B$3*MAX(0,'Revenue Model'!B18-$B$8)*$B$7*G24</f>
        <v>8035.714286</v>
      </c>
      <c r="H27" s="48">
        <f>$B$3*MAX(0,'Revenue Model'!B18-$B$8)*$B$7*H24</f>
        <v>8035.714286</v>
      </c>
      <c r="I27" s="48">
        <f>$B$3*MAX(0,'Revenue Model'!B18-$B$8)*$B$7*I24</f>
        <v>0</v>
      </c>
      <c r="J27" s="48">
        <f t="shared" si="1"/>
        <v>56250</v>
      </c>
    </row>
    <row r="28" ht="25.5" customHeight="1">
      <c r="A28" s="34" t="s">
        <v>470</v>
      </c>
      <c r="B28" s="63">
        <f t="shared" ref="B28:I28" si="3">SUM(B25:B27)</f>
        <v>56598.21429</v>
      </c>
      <c r="C28" s="63">
        <f t="shared" si="3"/>
        <v>50223.21429</v>
      </c>
      <c r="D28" s="63">
        <f t="shared" si="3"/>
        <v>50223.21429</v>
      </c>
      <c r="E28" s="63">
        <f t="shared" si="3"/>
        <v>50223.21429</v>
      </c>
      <c r="F28" s="63">
        <f t="shared" si="3"/>
        <v>50223.21429</v>
      </c>
      <c r="G28" s="63">
        <f t="shared" si="3"/>
        <v>50223.21429</v>
      </c>
      <c r="H28" s="63">
        <f t="shared" si="3"/>
        <v>92410.71429</v>
      </c>
      <c r="I28" s="63">
        <f t="shared" si="3"/>
        <v>0</v>
      </c>
      <c r="J28" s="63">
        <f t="shared" si="1"/>
        <v>400125</v>
      </c>
    </row>
    <row r="29" ht="25.5" customHeight="1">
      <c r="A29" s="54" t="s">
        <v>476</v>
      </c>
      <c r="B29" s="48">
        <f t="shared" ref="B29:I29" si="4">B25</f>
        <v>42187.5</v>
      </c>
      <c r="C29" s="48">
        <f t="shared" si="4"/>
        <v>42187.5</v>
      </c>
      <c r="D29" s="48">
        <f t="shared" si="4"/>
        <v>42187.5</v>
      </c>
      <c r="E29" s="48">
        <f t="shared" si="4"/>
        <v>42187.5</v>
      </c>
      <c r="F29" s="48">
        <f t="shared" si="4"/>
        <v>42187.5</v>
      </c>
      <c r="G29" s="48">
        <f t="shared" si="4"/>
        <v>42187.5</v>
      </c>
      <c r="H29" s="48">
        <f t="shared" si="4"/>
        <v>84375</v>
      </c>
      <c r="I29" s="48">
        <f t="shared" si="4"/>
        <v>0</v>
      </c>
      <c r="J29" s="48">
        <f t="shared" si="1"/>
        <v>337500</v>
      </c>
    </row>
    <row r="30" ht="25.5" customHeight="1">
      <c r="A30" s="54" t="s">
        <v>477</v>
      </c>
      <c r="B30" s="48">
        <f t="shared" ref="B30:I30" si="5">B26</f>
        <v>6375</v>
      </c>
      <c r="C30" s="48">
        <f t="shared" si="5"/>
        <v>0</v>
      </c>
      <c r="D30" s="48">
        <f t="shared" si="5"/>
        <v>0</v>
      </c>
      <c r="E30" s="48">
        <f t="shared" si="5"/>
        <v>0</v>
      </c>
      <c r="F30" s="48">
        <f t="shared" si="5"/>
        <v>0</v>
      </c>
      <c r="G30" s="48">
        <f t="shared" si="5"/>
        <v>0</v>
      </c>
      <c r="H30" s="48">
        <f t="shared" si="5"/>
        <v>0</v>
      </c>
      <c r="I30" s="48">
        <f t="shared" si="5"/>
        <v>0</v>
      </c>
      <c r="J30" s="48">
        <f t="shared" si="1"/>
        <v>6375</v>
      </c>
    </row>
    <row r="31" ht="25.5" customHeight="1">
      <c r="A31" s="54" t="s">
        <v>486</v>
      </c>
      <c r="B31" s="48">
        <f>IF($B$9=0,B27,0)</f>
        <v>0</v>
      </c>
      <c r="C31" s="48">
        <f t="shared" ref="C31:I31" si="6">IF($B$9=0,C27,B27)</f>
        <v>8035.714286</v>
      </c>
      <c r="D31" s="48">
        <f t="shared" si="6"/>
        <v>8035.714286</v>
      </c>
      <c r="E31" s="48">
        <f t="shared" si="6"/>
        <v>8035.714286</v>
      </c>
      <c r="F31" s="48">
        <f t="shared" si="6"/>
        <v>8035.714286</v>
      </c>
      <c r="G31" s="48">
        <f t="shared" si="6"/>
        <v>8035.714286</v>
      </c>
      <c r="H31" s="48">
        <f t="shared" si="6"/>
        <v>8035.714286</v>
      </c>
      <c r="I31" s="48">
        <f t="shared" si="6"/>
        <v>8035.714286</v>
      </c>
      <c r="J31" s="48">
        <f t="shared" si="1"/>
        <v>56250</v>
      </c>
    </row>
    <row r="32" ht="25.5" customHeight="1">
      <c r="A32" s="34" t="s">
        <v>494</v>
      </c>
      <c r="B32" s="63">
        <f t="shared" ref="B32:I32" si="7">SUM(B29:B31)</f>
        <v>48562.5</v>
      </c>
      <c r="C32" s="63">
        <f t="shared" si="7"/>
        <v>50223.21429</v>
      </c>
      <c r="D32" s="63">
        <f t="shared" si="7"/>
        <v>50223.21429</v>
      </c>
      <c r="E32" s="63">
        <f t="shared" si="7"/>
        <v>50223.21429</v>
      </c>
      <c r="F32" s="63">
        <f t="shared" si="7"/>
        <v>50223.21429</v>
      </c>
      <c r="G32" s="63">
        <f t="shared" si="7"/>
        <v>50223.21429</v>
      </c>
      <c r="H32" s="63">
        <f t="shared" si="7"/>
        <v>92410.71429</v>
      </c>
      <c r="I32" s="63">
        <f t="shared" si="7"/>
        <v>8035.714286</v>
      </c>
      <c r="J32" s="63">
        <f t="shared" si="1"/>
        <v>400125</v>
      </c>
    </row>
    <row r="33" ht="25.5" customHeight="1">
      <c r="A33" s="54" t="s">
        <v>497</v>
      </c>
      <c r="B33" s="48">
        <f t="shared" ref="B33:I33" si="8">SUM($B28:B28)</f>
        <v>56598.21429</v>
      </c>
      <c r="C33" s="48">
        <f t="shared" si="8"/>
        <v>106821.4286</v>
      </c>
      <c r="D33" s="48">
        <f t="shared" si="8"/>
        <v>157044.6429</v>
      </c>
      <c r="E33" s="48">
        <f t="shared" si="8"/>
        <v>207267.8571</v>
      </c>
      <c r="F33" s="48">
        <f t="shared" si="8"/>
        <v>257491.0714</v>
      </c>
      <c r="G33" s="48">
        <f t="shared" si="8"/>
        <v>307714.2857</v>
      </c>
      <c r="H33" s="48">
        <f t="shared" si="8"/>
        <v>400125</v>
      </c>
      <c r="I33" s="48">
        <f t="shared" si="8"/>
        <v>400125</v>
      </c>
      <c r="J33" s="48">
        <f t="shared" ref="J33:J38" si="10">I33</f>
        <v>400125</v>
      </c>
    </row>
    <row r="34" ht="25.5" customHeight="1">
      <c r="A34" s="54" t="s">
        <v>498</v>
      </c>
      <c r="B34" s="48">
        <f t="shared" ref="B34:I34" si="9">SUM($B32:B32)</f>
        <v>48562.5</v>
      </c>
      <c r="C34" s="48">
        <f t="shared" si="9"/>
        <v>98785.71429</v>
      </c>
      <c r="D34" s="48">
        <f t="shared" si="9"/>
        <v>149008.9286</v>
      </c>
      <c r="E34" s="48">
        <f t="shared" si="9"/>
        <v>199232.1429</v>
      </c>
      <c r="F34" s="48">
        <f t="shared" si="9"/>
        <v>249455.3571</v>
      </c>
      <c r="G34" s="48">
        <f t="shared" si="9"/>
        <v>299678.5714</v>
      </c>
      <c r="H34" s="48">
        <f t="shared" si="9"/>
        <v>392089.2857</v>
      </c>
      <c r="I34" s="48">
        <f t="shared" si="9"/>
        <v>400125</v>
      </c>
      <c r="J34" s="48">
        <f t="shared" si="10"/>
        <v>400125</v>
      </c>
    </row>
    <row r="35" ht="25.5" customHeight="1">
      <c r="A35" s="34" t="s">
        <v>503</v>
      </c>
      <c r="B35" s="63">
        <f t="shared" ref="B35:I35" si="11">MAX(0,SUM($B25:B25)-SUM($B29:B29))+MAX(0,SUM($B26:B26)-SUM($B30:B30))+MAX(0,SUM($B27:B27)-SUM($B31:B31))</f>
        <v>8035.714286</v>
      </c>
      <c r="C35" s="63">
        <f t="shared" si="11"/>
        <v>8035.714286</v>
      </c>
      <c r="D35" s="63">
        <f t="shared" si="11"/>
        <v>8035.714286</v>
      </c>
      <c r="E35" s="63">
        <f t="shared" si="11"/>
        <v>8035.714286</v>
      </c>
      <c r="F35" s="63">
        <f t="shared" si="11"/>
        <v>8035.714286</v>
      </c>
      <c r="G35" s="63">
        <f t="shared" si="11"/>
        <v>8035.714286</v>
      </c>
      <c r="H35" s="63">
        <f t="shared" si="11"/>
        <v>8035.714286</v>
      </c>
      <c r="I35" s="63">
        <f t="shared" si="11"/>
        <v>0</v>
      </c>
      <c r="J35" s="63">
        <f t="shared" si="10"/>
        <v>0</v>
      </c>
    </row>
    <row r="36" ht="25.5" customHeight="1">
      <c r="A36" s="34" t="s">
        <v>512</v>
      </c>
      <c r="B36" s="63">
        <f t="shared" ref="B36:I36" si="12">MAX(0,SUM($B29:B29)-SUM($B25:B25))+MAX(0,SUM($B30:B30)-SUM($B26:B26))+MAX(0,SUM($B31:B31)-SUM($B27:B27))</f>
        <v>0</v>
      </c>
      <c r="C36" s="63">
        <f t="shared" si="12"/>
        <v>0</v>
      </c>
      <c r="D36" s="63">
        <f t="shared" si="12"/>
        <v>0</v>
      </c>
      <c r="E36" s="63">
        <f t="shared" si="12"/>
        <v>0</v>
      </c>
      <c r="F36" s="63">
        <f t="shared" si="12"/>
        <v>0</v>
      </c>
      <c r="G36" s="63">
        <f t="shared" si="12"/>
        <v>0</v>
      </c>
      <c r="H36" s="63">
        <f t="shared" si="12"/>
        <v>0</v>
      </c>
      <c r="I36" s="63">
        <f t="shared" si="12"/>
        <v>0</v>
      </c>
      <c r="J36" s="63">
        <f t="shared" si="10"/>
        <v>0</v>
      </c>
    </row>
    <row r="37" ht="25.5" customHeight="1">
      <c r="A37" s="54" t="s">
        <v>533</v>
      </c>
      <c r="B37" s="48">
        <f t="shared" ref="B37:I37" si="13">MAX(0,$B$16-B33)</f>
        <v>343526.7857</v>
      </c>
      <c r="C37" s="48">
        <f t="shared" si="13"/>
        <v>293303.5714</v>
      </c>
      <c r="D37" s="48">
        <f t="shared" si="13"/>
        <v>243080.3571</v>
      </c>
      <c r="E37" s="48">
        <f t="shared" si="13"/>
        <v>192857.1429</v>
      </c>
      <c r="F37" s="48">
        <f t="shared" si="13"/>
        <v>142633.9286</v>
      </c>
      <c r="G37" s="48">
        <f t="shared" si="13"/>
        <v>92410.71429</v>
      </c>
      <c r="H37" s="48">
        <f t="shared" si="13"/>
        <v>0</v>
      </c>
      <c r="I37" s="48">
        <f t="shared" si="13"/>
        <v>0</v>
      </c>
      <c r="J37" s="48">
        <f t="shared" si="10"/>
        <v>0</v>
      </c>
    </row>
    <row r="38" ht="25.5" customHeight="1">
      <c r="A38" s="54" t="s">
        <v>562</v>
      </c>
      <c r="B38" s="48">
        <f t="shared" ref="B38:I38" si="14">ROUND(B33+B36-B34-B35,8)</f>
        <v>0</v>
      </c>
      <c r="C38" s="48">
        <f t="shared" si="14"/>
        <v>0</v>
      </c>
      <c r="D38" s="48">
        <f t="shared" si="14"/>
        <v>0</v>
      </c>
      <c r="E38" s="48">
        <f t="shared" si="14"/>
        <v>0</v>
      </c>
      <c r="F38" s="48">
        <f t="shared" si="14"/>
        <v>0</v>
      </c>
      <c r="G38" s="48">
        <f t="shared" si="14"/>
        <v>0</v>
      </c>
      <c r="H38" s="48">
        <f t="shared" si="14"/>
        <v>0</v>
      </c>
      <c r="I38" s="48">
        <f t="shared" si="14"/>
        <v>0</v>
      </c>
      <c r="J38" s="48">
        <f t="shared" si="10"/>
        <v>0</v>
      </c>
    </row>
    <row r="39" ht="25.5" customHeight="1">
      <c r="A39" s="54" t="s">
        <v>54</v>
      </c>
      <c r="B39" s="38" t="s">
        <v>54</v>
      </c>
      <c r="C39" s="38" t="s">
        <v>54</v>
      </c>
      <c r="D39" s="38" t="s">
        <v>54</v>
      </c>
      <c r="E39" s="38" t="s">
        <v>54</v>
      </c>
      <c r="F39" s="38" t="s">
        <v>54</v>
      </c>
      <c r="G39" s="38" t="s">
        <v>54</v>
      </c>
      <c r="H39" s="38" t="s">
        <v>54</v>
      </c>
      <c r="I39" s="38" t="s">
        <v>54</v>
      </c>
      <c r="J39" s="38" t="s">
        <v>54</v>
      </c>
    </row>
    <row r="40" ht="25.5" customHeight="1">
      <c r="A40" s="54" t="s">
        <v>592</v>
      </c>
      <c r="B40" s="48">
        <f>'Use Of Funds'!C16</f>
        <v>148000</v>
      </c>
      <c r="C40" s="48">
        <f>'Use Of Funds'!C17</f>
        <v>650000</v>
      </c>
      <c r="D40" s="48">
        <f>'Use Of Funds'!C18</f>
        <v>0</v>
      </c>
      <c r="E40" s="48">
        <f>'Use Of Funds'!$C$19/2</f>
        <v>0</v>
      </c>
      <c r="F40" s="48">
        <f>'Use Of Funds'!$C$19/2</f>
        <v>0</v>
      </c>
      <c r="G40" s="38" t="s">
        <v>54</v>
      </c>
      <c r="H40" s="38" t="s">
        <v>54</v>
      </c>
      <c r="I40" s="38" t="s">
        <v>54</v>
      </c>
      <c r="J40" s="48">
        <f t="shared" ref="J40:J41" si="15">SUM(B40:I40)</f>
        <v>798000</v>
      </c>
    </row>
    <row r="41" ht="25.5" customHeight="1">
      <c r="A41" s="54" t="s">
        <v>616</v>
      </c>
      <c r="B41" s="48">
        <f>'Revenue Model'!F14</f>
        <v>300000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48">
        <f t="shared" si="15"/>
        <v>300000</v>
      </c>
    </row>
    <row r="42" ht="25.5" customHeight="1">
      <c r="A42" s="54" t="s">
        <v>624</v>
      </c>
      <c r="B42" s="38">
        <v>0.0</v>
      </c>
      <c r="C42" s="48">
        <f t="shared" ref="C42:I42" si="16">B43</f>
        <v>200562.5</v>
      </c>
      <c r="D42" s="48">
        <f t="shared" si="16"/>
        <v>-399214.2857</v>
      </c>
      <c r="E42" s="48">
        <f t="shared" si="16"/>
        <v>-348991.0714</v>
      </c>
      <c r="F42" s="48">
        <f t="shared" si="16"/>
        <v>-298767.8571</v>
      </c>
      <c r="G42" s="48">
        <f t="shared" si="16"/>
        <v>-248544.6429</v>
      </c>
      <c r="H42" s="48" t="str">
        <f t="shared" si="16"/>
        <v/>
      </c>
      <c r="I42" s="48" t="str">
        <f t="shared" si="16"/>
        <v/>
      </c>
      <c r="J42" s="38" t="s">
        <v>54</v>
      </c>
    </row>
    <row r="43" ht="25.5" customHeight="1">
      <c r="A43" s="34" t="s">
        <v>632</v>
      </c>
      <c r="B43" s="63">
        <f t="shared" ref="B43:I43" si="17">IF(OR(B40="",B42=""),"",B42+B41+B32-B40)</f>
        <v>200562.5</v>
      </c>
      <c r="C43" s="63">
        <f t="shared" si="17"/>
        <v>-399214.2857</v>
      </c>
      <c r="D43" s="63">
        <f t="shared" si="17"/>
        <v>-348991.0714</v>
      </c>
      <c r="E43" s="63">
        <f t="shared" si="17"/>
        <v>-298767.8571</v>
      </c>
      <c r="F43" s="63">
        <f t="shared" si="17"/>
        <v>-248544.6429</v>
      </c>
      <c r="G43" s="63" t="str">
        <f t="shared" si="17"/>
        <v/>
      </c>
      <c r="H43" s="63" t="str">
        <f t="shared" si="17"/>
        <v/>
      </c>
      <c r="I43" s="63" t="str">
        <f t="shared" si="17"/>
        <v/>
      </c>
      <c r="J43" s="35" t="s">
        <v>54</v>
      </c>
    </row>
    <row r="44" ht="25.5" customHeight="1">
      <c r="A44" s="54" t="s">
        <v>54</v>
      </c>
      <c r="B44" s="38" t="s">
        <v>54</v>
      </c>
      <c r="C44" s="38" t="s">
        <v>54</v>
      </c>
      <c r="D44" s="38" t="s">
        <v>54</v>
      </c>
      <c r="E44" s="38" t="s">
        <v>54</v>
      </c>
      <c r="F44" s="38" t="s">
        <v>54</v>
      </c>
      <c r="G44" s="38" t="s">
        <v>54</v>
      </c>
      <c r="H44" s="38" t="s">
        <v>54</v>
      </c>
      <c r="I44" s="38" t="s">
        <v>54</v>
      </c>
      <c r="J44" s="38" t="s">
        <v>54</v>
      </c>
    </row>
    <row r="45" ht="25.5" customHeight="1">
      <c r="A45" s="21" t="s">
        <v>663</v>
      </c>
    </row>
    <row r="46" ht="25.5" customHeight="1">
      <c r="A46" s="21" t="s">
        <v>668</v>
      </c>
    </row>
    <row r="47" ht="25.5" customHeight="1">
      <c r="A47" s="21" t="s">
        <v>676</v>
      </c>
    </row>
    <row r="48" ht="25.5" customHeight="1">
      <c r="A48" s="21" t="s">
        <v>678</v>
      </c>
    </row>
    <row r="49" ht="25.5" customHeight="1">
      <c r="A49" s="21" t="s">
        <v>680</v>
      </c>
    </row>
    <row r="50" ht="25.5" customHeight="1">
      <c r="A50" s="21" t="s">
        <v>685</v>
      </c>
    </row>
    <row r="51" ht="25.5" customHeight="1">
      <c r="A51" s="21" t="s">
        <v>689</v>
      </c>
    </row>
    <row r="52" ht="25.5" customHeight="1">
      <c r="A52" s="21" t="s">
        <v>691</v>
      </c>
    </row>
    <row r="54" ht="31.5" customHeight="1">
      <c r="A54" s="76" t="s">
        <v>696</v>
      </c>
    </row>
    <row r="55" ht="31.5" customHeight="1">
      <c r="A55" s="76" t="s">
        <v>702</v>
      </c>
    </row>
    <row r="56" ht="31.5" customHeight="1">
      <c r="A56" s="76" t="s">
        <v>703</v>
      </c>
    </row>
    <row r="57" ht="31.5" customHeight="1">
      <c r="A57" s="76" t="s">
        <v>705</v>
      </c>
    </row>
    <row r="58" ht="31.5" customHeight="1">
      <c r="A58" s="76" t="s">
        <v>708</v>
      </c>
    </row>
    <row r="59" ht="31.5" customHeight="1"/>
    <row r="60" ht="31.5" customHeight="1"/>
    <row r="61" ht="31.5" customHeight="1">
      <c r="A61" s="18" t="s">
        <v>709</v>
      </c>
      <c r="B61" s="18" t="s">
        <v>54</v>
      </c>
      <c r="C61" s="18" t="s">
        <v>54</v>
      </c>
      <c r="D61" s="18" t="s">
        <v>54</v>
      </c>
      <c r="E61" s="18" t="s">
        <v>54</v>
      </c>
      <c r="F61" s="18" t="s">
        <v>54</v>
      </c>
      <c r="G61" s="18" t="s">
        <v>54</v>
      </c>
      <c r="H61" s="18" t="s">
        <v>54</v>
      </c>
      <c r="I61" s="18" t="s">
        <v>54</v>
      </c>
      <c r="J61" s="15"/>
    </row>
    <row r="62" ht="31.5" customHeight="1">
      <c r="A62" s="21" t="s">
        <v>713</v>
      </c>
    </row>
    <row r="63" ht="31.5" customHeight="1">
      <c r="A63" s="21" t="s">
        <v>714</v>
      </c>
      <c r="B63" s="79">
        <f>SUM(D73:D172)</f>
        <v>0</v>
      </c>
      <c r="C63" s="21" t="s">
        <v>54</v>
      </c>
      <c r="D63" s="21" t="s">
        <v>54</v>
      </c>
      <c r="E63" s="21" t="s">
        <v>54</v>
      </c>
      <c r="F63" s="21" t="s">
        <v>54</v>
      </c>
      <c r="G63" s="21" t="s">
        <v>54</v>
      </c>
      <c r="H63" s="21" t="s">
        <v>54</v>
      </c>
      <c r="I63" s="21" t="s">
        <v>54</v>
      </c>
      <c r="J63" s="16"/>
    </row>
    <row r="64" ht="31.5" customHeight="1">
      <c r="A64" s="21" t="s">
        <v>725</v>
      </c>
      <c r="B64" s="79">
        <f>SUM(E73:E172)</f>
        <v>0</v>
      </c>
      <c r="C64" s="21" t="s">
        <v>54</v>
      </c>
      <c r="D64" s="21" t="s">
        <v>54</v>
      </c>
      <c r="E64" s="21" t="s">
        <v>54</v>
      </c>
      <c r="F64" s="21" t="s">
        <v>54</v>
      </c>
      <c r="G64" s="21" t="s">
        <v>54</v>
      </c>
      <c r="H64" s="21" t="s">
        <v>54</v>
      </c>
      <c r="I64" s="21" t="s">
        <v>54</v>
      </c>
      <c r="J64" s="16"/>
    </row>
    <row r="65" ht="31.5" customHeight="1">
      <c r="A65" s="21" t="s">
        <v>744</v>
      </c>
      <c r="B65" s="79">
        <f>SUM(F73:F172)</f>
        <v>0</v>
      </c>
      <c r="C65" s="21" t="s">
        <v>54</v>
      </c>
      <c r="D65" s="21" t="s">
        <v>54</v>
      </c>
      <c r="E65" s="21" t="s">
        <v>54</v>
      </c>
      <c r="F65" s="21" t="s">
        <v>54</v>
      </c>
      <c r="G65" s="21" t="s">
        <v>54</v>
      </c>
      <c r="H65" s="21" t="s">
        <v>54</v>
      </c>
      <c r="I65" s="21" t="s">
        <v>54</v>
      </c>
      <c r="J65" s="16"/>
    </row>
    <row r="66" ht="31.5" customHeight="1">
      <c r="A66" s="21" t="s">
        <v>764</v>
      </c>
      <c r="B66" s="79">
        <f>SUM(G73:G172)</f>
        <v>0</v>
      </c>
      <c r="C66" s="21" t="s">
        <v>54</v>
      </c>
      <c r="D66" s="21" t="s">
        <v>54</v>
      </c>
      <c r="E66" s="21" t="s">
        <v>54</v>
      </c>
      <c r="F66" s="21" t="s">
        <v>54</v>
      </c>
      <c r="G66" s="21" t="s">
        <v>54</v>
      </c>
      <c r="H66" s="21" t="s">
        <v>54</v>
      </c>
      <c r="I66" s="21" t="s">
        <v>54</v>
      </c>
      <c r="J66" s="16"/>
    </row>
    <row r="67" ht="31.5" customHeight="1">
      <c r="A67" s="21" t="s">
        <v>562</v>
      </c>
      <c r="B67" s="79">
        <f>B63+B66-B64-B65</f>
        <v>0</v>
      </c>
      <c r="C67" s="21" t="s">
        <v>54</v>
      </c>
      <c r="D67" s="21" t="s">
        <v>54</v>
      </c>
      <c r="E67" s="21" t="s">
        <v>54</v>
      </c>
      <c r="F67" s="21" t="s">
        <v>54</v>
      </c>
      <c r="G67" s="21" t="s">
        <v>54</v>
      </c>
      <c r="H67" s="21" t="s">
        <v>54</v>
      </c>
      <c r="I67" s="21" t="s">
        <v>54</v>
      </c>
      <c r="J67" s="16"/>
    </row>
    <row r="68" ht="31.5" customHeight="1">
      <c r="A68" s="21" t="s">
        <v>796</v>
      </c>
    </row>
    <row r="69" ht="31.5" customHeight="1">
      <c r="A69" s="21" t="s">
        <v>798</v>
      </c>
    </row>
    <row r="70" ht="31.5" customHeight="1">
      <c r="A70" s="21" t="s">
        <v>800</v>
      </c>
    </row>
    <row r="71" ht="31.5" customHeight="1">
      <c r="A71" s="21" t="s">
        <v>54</v>
      </c>
      <c r="B71" s="21" t="s">
        <v>54</v>
      </c>
      <c r="C71" s="21" t="s">
        <v>54</v>
      </c>
      <c r="D71" s="21" t="s">
        <v>54</v>
      </c>
      <c r="E71" s="21" t="s">
        <v>54</v>
      </c>
      <c r="F71" s="21" t="s">
        <v>54</v>
      </c>
      <c r="G71" s="21" t="s">
        <v>54</v>
      </c>
      <c r="H71" s="21" t="s">
        <v>54</v>
      </c>
      <c r="I71" s="21" t="s">
        <v>54</v>
      </c>
      <c r="J71" s="16"/>
    </row>
    <row r="72" ht="31.5" customHeight="1">
      <c r="A72" s="18" t="s">
        <v>803</v>
      </c>
      <c r="B72" s="18" t="s">
        <v>804</v>
      </c>
      <c r="C72" s="18" t="s">
        <v>805</v>
      </c>
      <c r="D72" s="18" t="s">
        <v>714</v>
      </c>
      <c r="E72" s="18" t="s">
        <v>806</v>
      </c>
      <c r="F72" s="18" t="s">
        <v>807</v>
      </c>
      <c r="G72" s="18" t="s">
        <v>808</v>
      </c>
      <c r="H72" s="18" t="s">
        <v>810</v>
      </c>
      <c r="I72" s="18" t="s">
        <v>811</v>
      </c>
      <c r="J72" s="15"/>
    </row>
    <row r="73" ht="31.5" customHeight="1">
      <c r="A73" s="21" t="s">
        <v>54</v>
      </c>
      <c r="B73" s="21" t="s">
        <v>54</v>
      </c>
      <c r="C73" s="21" t="s">
        <v>54</v>
      </c>
      <c r="D73" s="82" t="s">
        <v>54</v>
      </c>
      <c r="E73" s="82" t="s">
        <v>54</v>
      </c>
      <c r="F73" s="79" t="str">
        <f t="shared" ref="F73:F172" si="18">IF(A73="","",MAX(0,D73-E73))</f>
        <v/>
      </c>
      <c r="G73" s="79" t="str">
        <f t="shared" ref="G73:G172" si="19">IF(A73="","",MAX(0,E73-D73))</f>
        <v/>
      </c>
      <c r="H73" s="82" t="s">
        <v>54</v>
      </c>
      <c r="I73" s="21" t="s">
        <v>54</v>
      </c>
      <c r="J73" s="16"/>
    </row>
    <row r="74" ht="31.5" customHeight="1">
      <c r="A74" s="21" t="s">
        <v>54</v>
      </c>
      <c r="B74" s="21" t="s">
        <v>54</v>
      </c>
      <c r="C74" s="21" t="s">
        <v>54</v>
      </c>
      <c r="D74" s="82" t="s">
        <v>54</v>
      </c>
      <c r="E74" s="82" t="s">
        <v>54</v>
      </c>
      <c r="F74" s="79" t="str">
        <f t="shared" si="18"/>
        <v/>
      </c>
      <c r="G74" s="79" t="str">
        <f t="shared" si="19"/>
        <v/>
      </c>
      <c r="H74" s="82" t="s">
        <v>54</v>
      </c>
      <c r="I74" s="21" t="s">
        <v>54</v>
      </c>
      <c r="J74" s="16"/>
    </row>
    <row r="75" ht="31.5" customHeight="1">
      <c r="A75" s="21" t="s">
        <v>54</v>
      </c>
      <c r="B75" s="21" t="s">
        <v>54</v>
      </c>
      <c r="C75" s="21" t="s">
        <v>54</v>
      </c>
      <c r="D75" s="82" t="s">
        <v>54</v>
      </c>
      <c r="E75" s="82" t="s">
        <v>54</v>
      </c>
      <c r="F75" s="79" t="str">
        <f t="shared" si="18"/>
        <v/>
      </c>
      <c r="G75" s="79" t="str">
        <f t="shared" si="19"/>
        <v/>
      </c>
      <c r="H75" s="82" t="s">
        <v>54</v>
      </c>
      <c r="I75" s="21" t="s">
        <v>54</v>
      </c>
      <c r="J75" s="16"/>
    </row>
    <row r="76" ht="31.5" customHeight="1">
      <c r="A76" s="21" t="s">
        <v>54</v>
      </c>
      <c r="B76" s="21" t="s">
        <v>54</v>
      </c>
      <c r="C76" s="21" t="s">
        <v>54</v>
      </c>
      <c r="D76" s="82" t="s">
        <v>54</v>
      </c>
      <c r="E76" s="82" t="s">
        <v>54</v>
      </c>
      <c r="F76" s="79" t="str">
        <f t="shared" si="18"/>
        <v/>
      </c>
      <c r="G76" s="79" t="str">
        <f t="shared" si="19"/>
        <v/>
      </c>
      <c r="H76" s="82" t="s">
        <v>54</v>
      </c>
      <c r="I76" s="21" t="s">
        <v>54</v>
      </c>
      <c r="J76" s="16"/>
    </row>
    <row r="77" ht="31.5" customHeight="1">
      <c r="A77" s="21" t="s">
        <v>54</v>
      </c>
      <c r="B77" s="21" t="s">
        <v>54</v>
      </c>
      <c r="C77" s="21" t="s">
        <v>54</v>
      </c>
      <c r="D77" s="82" t="s">
        <v>54</v>
      </c>
      <c r="E77" s="82" t="s">
        <v>54</v>
      </c>
      <c r="F77" s="79" t="str">
        <f t="shared" si="18"/>
        <v/>
      </c>
      <c r="G77" s="79" t="str">
        <f t="shared" si="19"/>
        <v/>
      </c>
      <c r="H77" s="82" t="s">
        <v>54</v>
      </c>
      <c r="I77" s="21" t="s">
        <v>54</v>
      </c>
      <c r="J77" s="16"/>
    </row>
    <row r="78" ht="31.5" customHeight="1">
      <c r="A78" s="21" t="s">
        <v>54</v>
      </c>
      <c r="B78" s="21" t="s">
        <v>54</v>
      </c>
      <c r="C78" s="21" t="s">
        <v>54</v>
      </c>
      <c r="D78" s="82" t="s">
        <v>54</v>
      </c>
      <c r="E78" s="82" t="s">
        <v>54</v>
      </c>
      <c r="F78" s="79" t="str">
        <f t="shared" si="18"/>
        <v/>
      </c>
      <c r="G78" s="79" t="str">
        <f t="shared" si="19"/>
        <v/>
      </c>
      <c r="H78" s="82" t="s">
        <v>54</v>
      </c>
      <c r="I78" s="21" t="s">
        <v>54</v>
      </c>
      <c r="J78" s="16"/>
    </row>
    <row r="79" ht="31.5" customHeight="1">
      <c r="A79" s="21" t="s">
        <v>54</v>
      </c>
      <c r="B79" s="21" t="s">
        <v>54</v>
      </c>
      <c r="C79" s="21" t="s">
        <v>54</v>
      </c>
      <c r="D79" s="82" t="s">
        <v>54</v>
      </c>
      <c r="E79" s="82" t="s">
        <v>54</v>
      </c>
      <c r="F79" s="79" t="str">
        <f t="shared" si="18"/>
        <v/>
      </c>
      <c r="G79" s="79" t="str">
        <f t="shared" si="19"/>
        <v/>
      </c>
      <c r="H79" s="82" t="s">
        <v>54</v>
      </c>
      <c r="I79" s="21" t="s">
        <v>54</v>
      </c>
      <c r="J79" s="16"/>
    </row>
    <row r="80" ht="31.5" customHeight="1">
      <c r="A80" s="21" t="s">
        <v>54</v>
      </c>
      <c r="B80" s="21" t="s">
        <v>54</v>
      </c>
      <c r="C80" s="21" t="s">
        <v>54</v>
      </c>
      <c r="D80" s="82" t="s">
        <v>54</v>
      </c>
      <c r="E80" s="82" t="s">
        <v>54</v>
      </c>
      <c r="F80" s="79" t="str">
        <f t="shared" si="18"/>
        <v/>
      </c>
      <c r="G80" s="79" t="str">
        <f t="shared" si="19"/>
        <v/>
      </c>
      <c r="H80" s="82" t="s">
        <v>54</v>
      </c>
      <c r="I80" s="21" t="s">
        <v>54</v>
      </c>
      <c r="J80" s="16"/>
    </row>
    <row r="81" ht="31.5" customHeight="1">
      <c r="A81" s="21" t="s">
        <v>54</v>
      </c>
      <c r="B81" s="21" t="s">
        <v>54</v>
      </c>
      <c r="C81" s="21" t="s">
        <v>54</v>
      </c>
      <c r="D81" s="82" t="s">
        <v>54</v>
      </c>
      <c r="E81" s="82" t="s">
        <v>54</v>
      </c>
      <c r="F81" s="79" t="str">
        <f t="shared" si="18"/>
        <v/>
      </c>
      <c r="G81" s="79" t="str">
        <f t="shared" si="19"/>
        <v/>
      </c>
      <c r="H81" s="82" t="s">
        <v>54</v>
      </c>
      <c r="I81" s="21" t="s">
        <v>54</v>
      </c>
      <c r="J81" s="16"/>
    </row>
    <row r="82" ht="31.5" customHeight="1">
      <c r="A82" s="21" t="s">
        <v>54</v>
      </c>
      <c r="B82" s="21" t="s">
        <v>54</v>
      </c>
      <c r="C82" s="21" t="s">
        <v>54</v>
      </c>
      <c r="D82" s="82" t="s">
        <v>54</v>
      </c>
      <c r="E82" s="82" t="s">
        <v>54</v>
      </c>
      <c r="F82" s="79" t="str">
        <f t="shared" si="18"/>
        <v/>
      </c>
      <c r="G82" s="79" t="str">
        <f t="shared" si="19"/>
        <v/>
      </c>
      <c r="H82" s="82" t="s">
        <v>54</v>
      </c>
      <c r="I82" s="21" t="s">
        <v>54</v>
      </c>
      <c r="J82" s="16"/>
    </row>
    <row r="83" ht="31.5" customHeight="1">
      <c r="A83" s="21" t="s">
        <v>54</v>
      </c>
      <c r="B83" s="21" t="s">
        <v>54</v>
      </c>
      <c r="C83" s="21" t="s">
        <v>54</v>
      </c>
      <c r="D83" s="82" t="s">
        <v>54</v>
      </c>
      <c r="E83" s="82" t="s">
        <v>54</v>
      </c>
      <c r="F83" s="79" t="str">
        <f t="shared" si="18"/>
        <v/>
      </c>
      <c r="G83" s="79" t="str">
        <f t="shared" si="19"/>
        <v/>
      </c>
      <c r="H83" s="82" t="s">
        <v>54</v>
      </c>
      <c r="I83" s="21" t="s">
        <v>54</v>
      </c>
      <c r="J83" s="16"/>
    </row>
    <row r="84" ht="31.5" customHeight="1">
      <c r="A84" s="21" t="s">
        <v>54</v>
      </c>
      <c r="B84" s="21" t="s">
        <v>54</v>
      </c>
      <c r="C84" s="21" t="s">
        <v>54</v>
      </c>
      <c r="D84" s="82" t="s">
        <v>54</v>
      </c>
      <c r="E84" s="82" t="s">
        <v>54</v>
      </c>
      <c r="F84" s="79" t="str">
        <f t="shared" si="18"/>
        <v/>
      </c>
      <c r="G84" s="79" t="str">
        <f t="shared" si="19"/>
        <v/>
      </c>
      <c r="H84" s="82" t="s">
        <v>54</v>
      </c>
      <c r="I84" s="21" t="s">
        <v>54</v>
      </c>
      <c r="J84" s="16"/>
    </row>
    <row r="85" ht="31.5" customHeight="1">
      <c r="A85" s="21" t="s">
        <v>54</v>
      </c>
      <c r="B85" s="21" t="s">
        <v>54</v>
      </c>
      <c r="C85" s="21" t="s">
        <v>54</v>
      </c>
      <c r="D85" s="82" t="s">
        <v>54</v>
      </c>
      <c r="E85" s="82" t="s">
        <v>54</v>
      </c>
      <c r="F85" s="79" t="str">
        <f t="shared" si="18"/>
        <v/>
      </c>
      <c r="G85" s="79" t="str">
        <f t="shared" si="19"/>
        <v/>
      </c>
      <c r="H85" s="82" t="s">
        <v>54</v>
      </c>
      <c r="I85" s="21" t="s">
        <v>54</v>
      </c>
      <c r="J85" s="16"/>
    </row>
    <row r="86" ht="31.5" customHeight="1">
      <c r="A86" s="21" t="s">
        <v>54</v>
      </c>
      <c r="B86" s="21" t="s">
        <v>54</v>
      </c>
      <c r="C86" s="21" t="s">
        <v>54</v>
      </c>
      <c r="D86" s="82" t="s">
        <v>54</v>
      </c>
      <c r="E86" s="82" t="s">
        <v>54</v>
      </c>
      <c r="F86" s="79" t="str">
        <f t="shared" si="18"/>
        <v/>
      </c>
      <c r="G86" s="79" t="str">
        <f t="shared" si="19"/>
        <v/>
      </c>
      <c r="H86" s="82" t="s">
        <v>54</v>
      </c>
      <c r="I86" s="21" t="s">
        <v>54</v>
      </c>
      <c r="J86" s="16"/>
    </row>
    <row r="87" ht="31.5" customHeight="1">
      <c r="A87" s="21" t="s">
        <v>54</v>
      </c>
      <c r="B87" s="21" t="s">
        <v>54</v>
      </c>
      <c r="C87" s="21" t="s">
        <v>54</v>
      </c>
      <c r="D87" s="82" t="s">
        <v>54</v>
      </c>
      <c r="E87" s="82" t="s">
        <v>54</v>
      </c>
      <c r="F87" s="79" t="str">
        <f t="shared" si="18"/>
        <v/>
      </c>
      <c r="G87" s="79" t="str">
        <f t="shared" si="19"/>
        <v/>
      </c>
      <c r="H87" s="82" t="s">
        <v>54</v>
      </c>
      <c r="I87" s="21" t="s">
        <v>54</v>
      </c>
      <c r="J87" s="16"/>
    </row>
    <row r="88" ht="31.5" customHeight="1">
      <c r="A88" s="21" t="s">
        <v>54</v>
      </c>
      <c r="B88" s="21" t="s">
        <v>54</v>
      </c>
      <c r="C88" s="21" t="s">
        <v>54</v>
      </c>
      <c r="D88" s="82" t="s">
        <v>54</v>
      </c>
      <c r="E88" s="82" t="s">
        <v>54</v>
      </c>
      <c r="F88" s="79" t="str">
        <f t="shared" si="18"/>
        <v/>
      </c>
      <c r="G88" s="79" t="str">
        <f t="shared" si="19"/>
        <v/>
      </c>
      <c r="H88" s="82" t="s">
        <v>54</v>
      </c>
      <c r="I88" s="21" t="s">
        <v>54</v>
      </c>
      <c r="J88" s="16"/>
    </row>
    <row r="89" ht="31.5" customHeight="1">
      <c r="A89" s="21" t="s">
        <v>54</v>
      </c>
      <c r="B89" s="21" t="s">
        <v>54</v>
      </c>
      <c r="C89" s="21" t="s">
        <v>54</v>
      </c>
      <c r="D89" s="82" t="s">
        <v>54</v>
      </c>
      <c r="E89" s="82" t="s">
        <v>54</v>
      </c>
      <c r="F89" s="79" t="str">
        <f t="shared" si="18"/>
        <v/>
      </c>
      <c r="G89" s="79" t="str">
        <f t="shared" si="19"/>
        <v/>
      </c>
      <c r="H89" s="82" t="s">
        <v>54</v>
      </c>
      <c r="I89" s="21" t="s">
        <v>54</v>
      </c>
      <c r="J89" s="16"/>
    </row>
    <row r="90" ht="31.5" customHeight="1">
      <c r="A90" s="21" t="s">
        <v>54</v>
      </c>
      <c r="B90" s="21" t="s">
        <v>54</v>
      </c>
      <c r="C90" s="21" t="s">
        <v>54</v>
      </c>
      <c r="D90" s="82" t="s">
        <v>54</v>
      </c>
      <c r="E90" s="82" t="s">
        <v>54</v>
      </c>
      <c r="F90" s="79" t="str">
        <f t="shared" si="18"/>
        <v/>
      </c>
      <c r="G90" s="79" t="str">
        <f t="shared" si="19"/>
        <v/>
      </c>
      <c r="H90" s="82" t="s">
        <v>54</v>
      </c>
      <c r="I90" s="21" t="s">
        <v>54</v>
      </c>
      <c r="J90" s="16"/>
    </row>
    <row r="91" ht="31.5" customHeight="1">
      <c r="A91" s="21" t="s">
        <v>54</v>
      </c>
      <c r="B91" s="21" t="s">
        <v>54</v>
      </c>
      <c r="C91" s="21" t="s">
        <v>54</v>
      </c>
      <c r="D91" s="82" t="s">
        <v>54</v>
      </c>
      <c r="E91" s="82" t="s">
        <v>54</v>
      </c>
      <c r="F91" s="79" t="str">
        <f t="shared" si="18"/>
        <v/>
      </c>
      <c r="G91" s="79" t="str">
        <f t="shared" si="19"/>
        <v/>
      </c>
      <c r="H91" s="82" t="s">
        <v>54</v>
      </c>
      <c r="I91" s="21" t="s">
        <v>54</v>
      </c>
      <c r="J91" s="16"/>
    </row>
    <row r="92" ht="31.5" customHeight="1">
      <c r="A92" s="21" t="s">
        <v>54</v>
      </c>
      <c r="B92" s="21" t="s">
        <v>54</v>
      </c>
      <c r="C92" s="21" t="s">
        <v>54</v>
      </c>
      <c r="D92" s="82" t="s">
        <v>54</v>
      </c>
      <c r="E92" s="82" t="s">
        <v>54</v>
      </c>
      <c r="F92" s="79" t="str">
        <f t="shared" si="18"/>
        <v/>
      </c>
      <c r="G92" s="79" t="str">
        <f t="shared" si="19"/>
        <v/>
      </c>
      <c r="H92" s="82" t="s">
        <v>54</v>
      </c>
      <c r="I92" s="21" t="s">
        <v>54</v>
      </c>
      <c r="J92" s="16"/>
    </row>
    <row r="93" ht="31.5" customHeight="1">
      <c r="A93" s="21" t="s">
        <v>54</v>
      </c>
      <c r="B93" s="21" t="s">
        <v>54</v>
      </c>
      <c r="C93" s="21" t="s">
        <v>54</v>
      </c>
      <c r="D93" s="82" t="s">
        <v>54</v>
      </c>
      <c r="E93" s="82" t="s">
        <v>54</v>
      </c>
      <c r="F93" s="79" t="str">
        <f t="shared" si="18"/>
        <v/>
      </c>
      <c r="G93" s="79" t="str">
        <f t="shared" si="19"/>
        <v/>
      </c>
      <c r="H93" s="82" t="s">
        <v>54</v>
      </c>
      <c r="I93" s="21" t="s">
        <v>54</v>
      </c>
      <c r="J93" s="16"/>
    </row>
    <row r="94" ht="31.5" customHeight="1">
      <c r="A94" s="21" t="s">
        <v>54</v>
      </c>
      <c r="B94" s="21" t="s">
        <v>54</v>
      </c>
      <c r="C94" s="21" t="s">
        <v>54</v>
      </c>
      <c r="D94" s="82" t="s">
        <v>54</v>
      </c>
      <c r="E94" s="82" t="s">
        <v>54</v>
      </c>
      <c r="F94" s="79" t="str">
        <f t="shared" si="18"/>
        <v/>
      </c>
      <c r="G94" s="79" t="str">
        <f t="shared" si="19"/>
        <v/>
      </c>
      <c r="H94" s="82" t="s">
        <v>54</v>
      </c>
      <c r="I94" s="21" t="s">
        <v>54</v>
      </c>
      <c r="J94" s="16"/>
    </row>
    <row r="95" ht="31.5" customHeight="1">
      <c r="A95" s="21" t="s">
        <v>54</v>
      </c>
      <c r="B95" s="21" t="s">
        <v>54</v>
      </c>
      <c r="C95" s="21" t="s">
        <v>54</v>
      </c>
      <c r="D95" s="82" t="s">
        <v>54</v>
      </c>
      <c r="E95" s="82" t="s">
        <v>54</v>
      </c>
      <c r="F95" s="79" t="str">
        <f t="shared" si="18"/>
        <v/>
      </c>
      <c r="G95" s="79" t="str">
        <f t="shared" si="19"/>
        <v/>
      </c>
      <c r="H95" s="82" t="s">
        <v>54</v>
      </c>
      <c r="I95" s="21" t="s">
        <v>54</v>
      </c>
      <c r="J95" s="16"/>
    </row>
    <row r="96" ht="31.5" customHeight="1">
      <c r="A96" s="21" t="s">
        <v>54</v>
      </c>
      <c r="B96" s="21" t="s">
        <v>54</v>
      </c>
      <c r="C96" s="21" t="s">
        <v>54</v>
      </c>
      <c r="D96" s="82" t="s">
        <v>54</v>
      </c>
      <c r="E96" s="82" t="s">
        <v>54</v>
      </c>
      <c r="F96" s="79" t="str">
        <f t="shared" si="18"/>
        <v/>
      </c>
      <c r="G96" s="79" t="str">
        <f t="shared" si="19"/>
        <v/>
      </c>
      <c r="H96" s="82" t="s">
        <v>54</v>
      </c>
      <c r="I96" s="21" t="s">
        <v>54</v>
      </c>
      <c r="J96" s="16"/>
    </row>
    <row r="97" ht="31.5" customHeight="1">
      <c r="A97" s="21" t="s">
        <v>54</v>
      </c>
      <c r="B97" s="21" t="s">
        <v>54</v>
      </c>
      <c r="C97" s="21" t="s">
        <v>54</v>
      </c>
      <c r="D97" s="82" t="s">
        <v>54</v>
      </c>
      <c r="E97" s="82" t="s">
        <v>54</v>
      </c>
      <c r="F97" s="79" t="str">
        <f t="shared" si="18"/>
        <v/>
      </c>
      <c r="G97" s="79" t="str">
        <f t="shared" si="19"/>
        <v/>
      </c>
      <c r="H97" s="82" t="s">
        <v>54</v>
      </c>
      <c r="I97" s="21" t="s">
        <v>54</v>
      </c>
      <c r="J97" s="16"/>
    </row>
    <row r="98" ht="31.5" customHeight="1">
      <c r="A98" s="21" t="s">
        <v>54</v>
      </c>
      <c r="B98" s="21" t="s">
        <v>54</v>
      </c>
      <c r="C98" s="21" t="s">
        <v>54</v>
      </c>
      <c r="D98" s="82" t="s">
        <v>54</v>
      </c>
      <c r="E98" s="82" t="s">
        <v>54</v>
      </c>
      <c r="F98" s="79" t="str">
        <f t="shared" si="18"/>
        <v/>
      </c>
      <c r="G98" s="79" t="str">
        <f t="shared" si="19"/>
        <v/>
      </c>
      <c r="H98" s="82" t="s">
        <v>54</v>
      </c>
      <c r="I98" s="21" t="s">
        <v>54</v>
      </c>
      <c r="J98" s="16"/>
    </row>
    <row r="99" ht="31.5" customHeight="1">
      <c r="A99" s="21" t="s">
        <v>54</v>
      </c>
      <c r="B99" s="21" t="s">
        <v>54</v>
      </c>
      <c r="C99" s="21" t="s">
        <v>54</v>
      </c>
      <c r="D99" s="82" t="s">
        <v>54</v>
      </c>
      <c r="E99" s="82" t="s">
        <v>54</v>
      </c>
      <c r="F99" s="79" t="str">
        <f t="shared" si="18"/>
        <v/>
      </c>
      <c r="G99" s="79" t="str">
        <f t="shared" si="19"/>
        <v/>
      </c>
      <c r="H99" s="82" t="s">
        <v>54</v>
      </c>
      <c r="I99" s="21" t="s">
        <v>54</v>
      </c>
      <c r="J99" s="16"/>
    </row>
    <row r="100" ht="31.5" customHeight="1">
      <c r="A100" s="21" t="s">
        <v>54</v>
      </c>
      <c r="B100" s="21" t="s">
        <v>54</v>
      </c>
      <c r="C100" s="21" t="s">
        <v>54</v>
      </c>
      <c r="D100" s="82" t="s">
        <v>54</v>
      </c>
      <c r="E100" s="82" t="s">
        <v>54</v>
      </c>
      <c r="F100" s="79" t="str">
        <f t="shared" si="18"/>
        <v/>
      </c>
      <c r="G100" s="79" t="str">
        <f t="shared" si="19"/>
        <v/>
      </c>
      <c r="H100" s="82" t="s">
        <v>54</v>
      </c>
      <c r="I100" s="21" t="s">
        <v>54</v>
      </c>
      <c r="J100" s="16"/>
    </row>
    <row r="101" ht="31.5" customHeight="1">
      <c r="A101" s="21" t="s">
        <v>54</v>
      </c>
      <c r="B101" s="21" t="s">
        <v>54</v>
      </c>
      <c r="C101" s="21" t="s">
        <v>54</v>
      </c>
      <c r="D101" s="82" t="s">
        <v>54</v>
      </c>
      <c r="E101" s="82" t="s">
        <v>54</v>
      </c>
      <c r="F101" s="79" t="str">
        <f t="shared" si="18"/>
        <v/>
      </c>
      <c r="G101" s="79" t="str">
        <f t="shared" si="19"/>
        <v/>
      </c>
      <c r="H101" s="82" t="s">
        <v>54</v>
      </c>
      <c r="I101" s="21" t="s">
        <v>54</v>
      </c>
      <c r="J101" s="16"/>
    </row>
    <row r="102" ht="31.5" customHeight="1">
      <c r="A102" s="21" t="s">
        <v>54</v>
      </c>
      <c r="B102" s="21" t="s">
        <v>54</v>
      </c>
      <c r="C102" s="21" t="s">
        <v>54</v>
      </c>
      <c r="D102" s="82" t="s">
        <v>54</v>
      </c>
      <c r="E102" s="82" t="s">
        <v>54</v>
      </c>
      <c r="F102" s="79" t="str">
        <f t="shared" si="18"/>
        <v/>
      </c>
      <c r="G102" s="79" t="str">
        <f t="shared" si="19"/>
        <v/>
      </c>
      <c r="H102" s="82" t="s">
        <v>54</v>
      </c>
      <c r="I102" s="21" t="s">
        <v>54</v>
      </c>
      <c r="J102" s="16"/>
    </row>
    <row r="103" ht="31.5" customHeight="1">
      <c r="A103" s="21" t="s">
        <v>54</v>
      </c>
      <c r="B103" s="21" t="s">
        <v>54</v>
      </c>
      <c r="C103" s="21" t="s">
        <v>54</v>
      </c>
      <c r="D103" s="82" t="s">
        <v>54</v>
      </c>
      <c r="E103" s="82" t="s">
        <v>54</v>
      </c>
      <c r="F103" s="79" t="str">
        <f t="shared" si="18"/>
        <v/>
      </c>
      <c r="G103" s="79" t="str">
        <f t="shared" si="19"/>
        <v/>
      </c>
      <c r="H103" s="82" t="s">
        <v>54</v>
      </c>
      <c r="I103" s="21" t="s">
        <v>54</v>
      </c>
      <c r="J103" s="16"/>
    </row>
    <row r="104" ht="31.5" customHeight="1">
      <c r="A104" s="21" t="s">
        <v>54</v>
      </c>
      <c r="B104" s="21" t="s">
        <v>54</v>
      </c>
      <c r="C104" s="21" t="s">
        <v>54</v>
      </c>
      <c r="D104" s="82" t="s">
        <v>54</v>
      </c>
      <c r="E104" s="82" t="s">
        <v>54</v>
      </c>
      <c r="F104" s="79" t="str">
        <f t="shared" si="18"/>
        <v/>
      </c>
      <c r="G104" s="79" t="str">
        <f t="shared" si="19"/>
        <v/>
      </c>
      <c r="H104" s="82" t="s">
        <v>54</v>
      </c>
      <c r="I104" s="21" t="s">
        <v>54</v>
      </c>
      <c r="J104" s="16"/>
    </row>
    <row r="105" ht="31.5" customHeight="1">
      <c r="A105" s="21" t="s">
        <v>54</v>
      </c>
      <c r="B105" s="21" t="s">
        <v>54</v>
      </c>
      <c r="C105" s="21" t="s">
        <v>54</v>
      </c>
      <c r="D105" s="82" t="s">
        <v>54</v>
      </c>
      <c r="E105" s="82" t="s">
        <v>54</v>
      </c>
      <c r="F105" s="79" t="str">
        <f t="shared" si="18"/>
        <v/>
      </c>
      <c r="G105" s="79" t="str">
        <f t="shared" si="19"/>
        <v/>
      </c>
      <c r="H105" s="82" t="s">
        <v>54</v>
      </c>
      <c r="I105" s="21" t="s">
        <v>54</v>
      </c>
      <c r="J105" s="16"/>
    </row>
    <row r="106" ht="31.5" customHeight="1">
      <c r="A106" s="21" t="s">
        <v>54</v>
      </c>
      <c r="B106" s="21" t="s">
        <v>54</v>
      </c>
      <c r="C106" s="21" t="s">
        <v>54</v>
      </c>
      <c r="D106" s="82" t="s">
        <v>54</v>
      </c>
      <c r="E106" s="82" t="s">
        <v>54</v>
      </c>
      <c r="F106" s="79" t="str">
        <f t="shared" si="18"/>
        <v/>
      </c>
      <c r="G106" s="79" t="str">
        <f t="shared" si="19"/>
        <v/>
      </c>
      <c r="H106" s="82" t="s">
        <v>54</v>
      </c>
      <c r="I106" s="21" t="s">
        <v>54</v>
      </c>
      <c r="J106" s="16"/>
    </row>
    <row r="107" ht="31.5" customHeight="1">
      <c r="A107" s="21" t="s">
        <v>54</v>
      </c>
      <c r="B107" s="21" t="s">
        <v>54</v>
      </c>
      <c r="C107" s="21" t="s">
        <v>54</v>
      </c>
      <c r="D107" s="82" t="s">
        <v>54</v>
      </c>
      <c r="E107" s="82" t="s">
        <v>54</v>
      </c>
      <c r="F107" s="79" t="str">
        <f t="shared" si="18"/>
        <v/>
      </c>
      <c r="G107" s="79" t="str">
        <f t="shared" si="19"/>
        <v/>
      </c>
      <c r="H107" s="82" t="s">
        <v>54</v>
      </c>
      <c r="I107" s="21" t="s">
        <v>54</v>
      </c>
      <c r="J107" s="16"/>
    </row>
    <row r="108" ht="31.5" customHeight="1">
      <c r="A108" s="21" t="s">
        <v>54</v>
      </c>
      <c r="B108" s="21" t="s">
        <v>54</v>
      </c>
      <c r="C108" s="21" t="s">
        <v>54</v>
      </c>
      <c r="D108" s="82" t="s">
        <v>54</v>
      </c>
      <c r="E108" s="82" t="s">
        <v>54</v>
      </c>
      <c r="F108" s="79" t="str">
        <f t="shared" si="18"/>
        <v/>
      </c>
      <c r="G108" s="79" t="str">
        <f t="shared" si="19"/>
        <v/>
      </c>
      <c r="H108" s="82" t="s">
        <v>54</v>
      </c>
      <c r="I108" s="21" t="s">
        <v>54</v>
      </c>
      <c r="J108" s="16"/>
    </row>
    <row r="109" ht="31.5" customHeight="1">
      <c r="A109" s="21" t="s">
        <v>54</v>
      </c>
      <c r="B109" s="21" t="s">
        <v>54</v>
      </c>
      <c r="C109" s="21" t="s">
        <v>54</v>
      </c>
      <c r="D109" s="82" t="s">
        <v>54</v>
      </c>
      <c r="E109" s="82" t="s">
        <v>54</v>
      </c>
      <c r="F109" s="79" t="str">
        <f t="shared" si="18"/>
        <v/>
      </c>
      <c r="G109" s="79" t="str">
        <f t="shared" si="19"/>
        <v/>
      </c>
      <c r="H109" s="82" t="s">
        <v>54</v>
      </c>
      <c r="I109" s="21" t="s">
        <v>54</v>
      </c>
      <c r="J109" s="16"/>
    </row>
    <row r="110" ht="31.5" customHeight="1">
      <c r="A110" s="21" t="s">
        <v>54</v>
      </c>
      <c r="B110" s="21" t="s">
        <v>54</v>
      </c>
      <c r="C110" s="21" t="s">
        <v>54</v>
      </c>
      <c r="D110" s="82" t="s">
        <v>54</v>
      </c>
      <c r="E110" s="82" t="s">
        <v>54</v>
      </c>
      <c r="F110" s="79" t="str">
        <f t="shared" si="18"/>
        <v/>
      </c>
      <c r="G110" s="79" t="str">
        <f t="shared" si="19"/>
        <v/>
      </c>
      <c r="H110" s="82" t="s">
        <v>54</v>
      </c>
      <c r="I110" s="21" t="s">
        <v>54</v>
      </c>
      <c r="J110" s="16"/>
    </row>
    <row r="111" ht="31.5" customHeight="1">
      <c r="A111" s="21" t="s">
        <v>54</v>
      </c>
      <c r="B111" s="21" t="s">
        <v>54</v>
      </c>
      <c r="C111" s="21" t="s">
        <v>54</v>
      </c>
      <c r="D111" s="82" t="s">
        <v>54</v>
      </c>
      <c r="E111" s="82" t="s">
        <v>54</v>
      </c>
      <c r="F111" s="79" t="str">
        <f t="shared" si="18"/>
        <v/>
      </c>
      <c r="G111" s="79" t="str">
        <f t="shared" si="19"/>
        <v/>
      </c>
      <c r="H111" s="82" t="s">
        <v>54</v>
      </c>
      <c r="I111" s="21" t="s">
        <v>54</v>
      </c>
      <c r="J111" s="16"/>
    </row>
    <row r="112" ht="31.5" customHeight="1">
      <c r="A112" s="21" t="s">
        <v>54</v>
      </c>
      <c r="B112" s="21" t="s">
        <v>54</v>
      </c>
      <c r="C112" s="21" t="s">
        <v>54</v>
      </c>
      <c r="D112" s="82" t="s">
        <v>54</v>
      </c>
      <c r="E112" s="82" t="s">
        <v>54</v>
      </c>
      <c r="F112" s="79" t="str">
        <f t="shared" si="18"/>
        <v/>
      </c>
      <c r="G112" s="79" t="str">
        <f t="shared" si="19"/>
        <v/>
      </c>
      <c r="H112" s="82" t="s">
        <v>54</v>
      </c>
      <c r="I112" s="21" t="s">
        <v>54</v>
      </c>
      <c r="J112" s="16"/>
    </row>
    <row r="113" ht="31.5" customHeight="1">
      <c r="A113" s="21" t="s">
        <v>54</v>
      </c>
      <c r="B113" s="21" t="s">
        <v>54</v>
      </c>
      <c r="C113" s="21" t="s">
        <v>54</v>
      </c>
      <c r="D113" s="82" t="s">
        <v>54</v>
      </c>
      <c r="E113" s="82" t="s">
        <v>54</v>
      </c>
      <c r="F113" s="79" t="str">
        <f t="shared" si="18"/>
        <v/>
      </c>
      <c r="G113" s="79" t="str">
        <f t="shared" si="19"/>
        <v/>
      </c>
      <c r="H113" s="82" t="s">
        <v>54</v>
      </c>
      <c r="I113" s="21" t="s">
        <v>54</v>
      </c>
      <c r="J113" s="16"/>
    </row>
    <row r="114" ht="31.5" customHeight="1">
      <c r="A114" s="21" t="s">
        <v>54</v>
      </c>
      <c r="B114" s="21" t="s">
        <v>54</v>
      </c>
      <c r="C114" s="21" t="s">
        <v>54</v>
      </c>
      <c r="D114" s="82" t="s">
        <v>54</v>
      </c>
      <c r="E114" s="82" t="s">
        <v>54</v>
      </c>
      <c r="F114" s="79" t="str">
        <f t="shared" si="18"/>
        <v/>
      </c>
      <c r="G114" s="79" t="str">
        <f t="shared" si="19"/>
        <v/>
      </c>
      <c r="H114" s="82" t="s">
        <v>54</v>
      </c>
      <c r="I114" s="21" t="s">
        <v>54</v>
      </c>
      <c r="J114" s="16"/>
    </row>
    <row r="115" ht="31.5" customHeight="1">
      <c r="A115" s="21" t="s">
        <v>54</v>
      </c>
      <c r="B115" s="21" t="s">
        <v>54</v>
      </c>
      <c r="C115" s="21" t="s">
        <v>54</v>
      </c>
      <c r="D115" s="82" t="s">
        <v>54</v>
      </c>
      <c r="E115" s="82" t="s">
        <v>54</v>
      </c>
      <c r="F115" s="79" t="str">
        <f t="shared" si="18"/>
        <v/>
      </c>
      <c r="G115" s="79" t="str">
        <f t="shared" si="19"/>
        <v/>
      </c>
      <c r="H115" s="82" t="s">
        <v>54</v>
      </c>
      <c r="I115" s="21" t="s">
        <v>54</v>
      </c>
      <c r="J115" s="16"/>
    </row>
    <row r="116" ht="31.5" customHeight="1">
      <c r="A116" s="21" t="s">
        <v>54</v>
      </c>
      <c r="B116" s="21" t="s">
        <v>54</v>
      </c>
      <c r="C116" s="21" t="s">
        <v>54</v>
      </c>
      <c r="D116" s="82" t="s">
        <v>54</v>
      </c>
      <c r="E116" s="82" t="s">
        <v>54</v>
      </c>
      <c r="F116" s="79" t="str">
        <f t="shared" si="18"/>
        <v/>
      </c>
      <c r="G116" s="79" t="str">
        <f t="shared" si="19"/>
        <v/>
      </c>
      <c r="H116" s="82" t="s">
        <v>54</v>
      </c>
      <c r="I116" s="21" t="s">
        <v>54</v>
      </c>
      <c r="J116" s="16"/>
    </row>
    <row r="117" ht="31.5" customHeight="1">
      <c r="A117" s="21" t="s">
        <v>54</v>
      </c>
      <c r="B117" s="21" t="s">
        <v>54</v>
      </c>
      <c r="C117" s="21" t="s">
        <v>54</v>
      </c>
      <c r="D117" s="82" t="s">
        <v>54</v>
      </c>
      <c r="E117" s="82" t="s">
        <v>54</v>
      </c>
      <c r="F117" s="79" t="str">
        <f t="shared" si="18"/>
        <v/>
      </c>
      <c r="G117" s="79" t="str">
        <f t="shared" si="19"/>
        <v/>
      </c>
      <c r="H117" s="82" t="s">
        <v>54</v>
      </c>
      <c r="I117" s="21" t="s">
        <v>54</v>
      </c>
      <c r="J117" s="16"/>
    </row>
    <row r="118" ht="31.5" customHeight="1">
      <c r="A118" s="21" t="s">
        <v>54</v>
      </c>
      <c r="B118" s="21" t="s">
        <v>54</v>
      </c>
      <c r="C118" s="21" t="s">
        <v>54</v>
      </c>
      <c r="D118" s="82" t="s">
        <v>54</v>
      </c>
      <c r="E118" s="82" t="s">
        <v>54</v>
      </c>
      <c r="F118" s="79" t="str">
        <f t="shared" si="18"/>
        <v/>
      </c>
      <c r="G118" s="79" t="str">
        <f t="shared" si="19"/>
        <v/>
      </c>
      <c r="H118" s="82" t="s">
        <v>54</v>
      </c>
      <c r="I118" s="21" t="s">
        <v>54</v>
      </c>
      <c r="J118" s="16"/>
    </row>
    <row r="119" ht="31.5" customHeight="1">
      <c r="A119" s="21" t="s">
        <v>54</v>
      </c>
      <c r="B119" s="21" t="s">
        <v>54</v>
      </c>
      <c r="C119" s="21" t="s">
        <v>54</v>
      </c>
      <c r="D119" s="82" t="s">
        <v>54</v>
      </c>
      <c r="E119" s="82" t="s">
        <v>54</v>
      </c>
      <c r="F119" s="79" t="str">
        <f t="shared" si="18"/>
        <v/>
      </c>
      <c r="G119" s="79" t="str">
        <f t="shared" si="19"/>
        <v/>
      </c>
      <c r="H119" s="82" t="s">
        <v>54</v>
      </c>
      <c r="I119" s="21" t="s">
        <v>54</v>
      </c>
      <c r="J119" s="16"/>
    </row>
    <row r="120" ht="31.5" customHeight="1">
      <c r="A120" s="21" t="s">
        <v>54</v>
      </c>
      <c r="B120" s="21" t="s">
        <v>54</v>
      </c>
      <c r="C120" s="21" t="s">
        <v>54</v>
      </c>
      <c r="D120" s="82" t="s">
        <v>54</v>
      </c>
      <c r="E120" s="82" t="s">
        <v>54</v>
      </c>
      <c r="F120" s="79" t="str">
        <f t="shared" si="18"/>
        <v/>
      </c>
      <c r="G120" s="79" t="str">
        <f t="shared" si="19"/>
        <v/>
      </c>
      <c r="H120" s="82" t="s">
        <v>54</v>
      </c>
      <c r="I120" s="21" t="s">
        <v>54</v>
      </c>
      <c r="J120" s="16"/>
    </row>
    <row r="121" ht="31.5" customHeight="1">
      <c r="A121" s="21" t="s">
        <v>54</v>
      </c>
      <c r="B121" s="21" t="s">
        <v>54</v>
      </c>
      <c r="C121" s="21" t="s">
        <v>54</v>
      </c>
      <c r="D121" s="82" t="s">
        <v>54</v>
      </c>
      <c r="E121" s="82" t="s">
        <v>54</v>
      </c>
      <c r="F121" s="79" t="str">
        <f t="shared" si="18"/>
        <v/>
      </c>
      <c r="G121" s="79" t="str">
        <f t="shared" si="19"/>
        <v/>
      </c>
      <c r="H121" s="82" t="s">
        <v>54</v>
      </c>
      <c r="I121" s="21" t="s">
        <v>54</v>
      </c>
      <c r="J121" s="16"/>
    </row>
    <row r="122" ht="31.5" customHeight="1">
      <c r="A122" s="21" t="s">
        <v>54</v>
      </c>
      <c r="B122" s="21" t="s">
        <v>54</v>
      </c>
      <c r="C122" s="21" t="s">
        <v>54</v>
      </c>
      <c r="D122" s="82" t="s">
        <v>54</v>
      </c>
      <c r="E122" s="82" t="s">
        <v>54</v>
      </c>
      <c r="F122" s="79" t="str">
        <f t="shared" si="18"/>
        <v/>
      </c>
      <c r="G122" s="79" t="str">
        <f t="shared" si="19"/>
        <v/>
      </c>
      <c r="H122" s="82" t="s">
        <v>54</v>
      </c>
      <c r="I122" s="21" t="s">
        <v>54</v>
      </c>
      <c r="J122" s="16"/>
    </row>
    <row r="123" ht="31.5" customHeight="1">
      <c r="A123" s="21" t="s">
        <v>54</v>
      </c>
      <c r="B123" s="21" t="s">
        <v>54</v>
      </c>
      <c r="C123" s="21" t="s">
        <v>54</v>
      </c>
      <c r="D123" s="82" t="s">
        <v>54</v>
      </c>
      <c r="E123" s="82" t="s">
        <v>54</v>
      </c>
      <c r="F123" s="79" t="str">
        <f t="shared" si="18"/>
        <v/>
      </c>
      <c r="G123" s="79" t="str">
        <f t="shared" si="19"/>
        <v/>
      </c>
      <c r="H123" s="82" t="s">
        <v>54</v>
      </c>
      <c r="I123" s="21" t="s">
        <v>54</v>
      </c>
      <c r="J123" s="16"/>
    </row>
    <row r="124" ht="31.5" customHeight="1">
      <c r="A124" s="21" t="s">
        <v>54</v>
      </c>
      <c r="B124" s="21" t="s">
        <v>54</v>
      </c>
      <c r="C124" s="21" t="s">
        <v>54</v>
      </c>
      <c r="D124" s="82" t="s">
        <v>54</v>
      </c>
      <c r="E124" s="82" t="s">
        <v>54</v>
      </c>
      <c r="F124" s="79" t="str">
        <f t="shared" si="18"/>
        <v/>
      </c>
      <c r="G124" s="79" t="str">
        <f t="shared" si="19"/>
        <v/>
      </c>
      <c r="H124" s="82" t="s">
        <v>54</v>
      </c>
      <c r="I124" s="21" t="s">
        <v>54</v>
      </c>
      <c r="J124" s="16"/>
    </row>
    <row r="125" ht="31.5" customHeight="1">
      <c r="A125" s="21" t="s">
        <v>54</v>
      </c>
      <c r="B125" s="21" t="s">
        <v>54</v>
      </c>
      <c r="C125" s="21" t="s">
        <v>54</v>
      </c>
      <c r="D125" s="82" t="s">
        <v>54</v>
      </c>
      <c r="E125" s="82" t="s">
        <v>54</v>
      </c>
      <c r="F125" s="79" t="str">
        <f t="shared" si="18"/>
        <v/>
      </c>
      <c r="G125" s="79" t="str">
        <f t="shared" si="19"/>
        <v/>
      </c>
      <c r="H125" s="82" t="s">
        <v>54</v>
      </c>
      <c r="I125" s="21" t="s">
        <v>54</v>
      </c>
      <c r="J125" s="16"/>
    </row>
    <row r="126" ht="31.5" customHeight="1">
      <c r="A126" s="21" t="s">
        <v>54</v>
      </c>
      <c r="B126" s="21" t="s">
        <v>54</v>
      </c>
      <c r="C126" s="21" t="s">
        <v>54</v>
      </c>
      <c r="D126" s="82" t="s">
        <v>54</v>
      </c>
      <c r="E126" s="82" t="s">
        <v>54</v>
      </c>
      <c r="F126" s="79" t="str">
        <f t="shared" si="18"/>
        <v/>
      </c>
      <c r="G126" s="79" t="str">
        <f t="shared" si="19"/>
        <v/>
      </c>
      <c r="H126" s="82" t="s">
        <v>54</v>
      </c>
      <c r="I126" s="21" t="s">
        <v>54</v>
      </c>
      <c r="J126" s="16"/>
    </row>
    <row r="127" ht="31.5" customHeight="1">
      <c r="A127" s="21" t="s">
        <v>54</v>
      </c>
      <c r="B127" s="21" t="s">
        <v>54</v>
      </c>
      <c r="C127" s="21" t="s">
        <v>54</v>
      </c>
      <c r="D127" s="82" t="s">
        <v>54</v>
      </c>
      <c r="E127" s="82" t="s">
        <v>54</v>
      </c>
      <c r="F127" s="79" t="str">
        <f t="shared" si="18"/>
        <v/>
      </c>
      <c r="G127" s="79" t="str">
        <f t="shared" si="19"/>
        <v/>
      </c>
      <c r="H127" s="82" t="s">
        <v>54</v>
      </c>
      <c r="I127" s="21" t="s">
        <v>54</v>
      </c>
      <c r="J127" s="16"/>
    </row>
    <row r="128" ht="31.5" customHeight="1">
      <c r="A128" s="21" t="s">
        <v>54</v>
      </c>
      <c r="B128" s="21" t="s">
        <v>54</v>
      </c>
      <c r="C128" s="21" t="s">
        <v>54</v>
      </c>
      <c r="D128" s="82" t="s">
        <v>54</v>
      </c>
      <c r="E128" s="82" t="s">
        <v>54</v>
      </c>
      <c r="F128" s="79" t="str">
        <f t="shared" si="18"/>
        <v/>
      </c>
      <c r="G128" s="79" t="str">
        <f t="shared" si="19"/>
        <v/>
      </c>
      <c r="H128" s="82" t="s">
        <v>54</v>
      </c>
      <c r="I128" s="21" t="s">
        <v>54</v>
      </c>
      <c r="J128" s="16"/>
    </row>
    <row r="129" ht="31.5" customHeight="1">
      <c r="A129" s="21" t="s">
        <v>54</v>
      </c>
      <c r="B129" s="21" t="s">
        <v>54</v>
      </c>
      <c r="C129" s="21" t="s">
        <v>54</v>
      </c>
      <c r="D129" s="82" t="s">
        <v>54</v>
      </c>
      <c r="E129" s="82" t="s">
        <v>54</v>
      </c>
      <c r="F129" s="79" t="str">
        <f t="shared" si="18"/>
        <v/>
      </c>
      <c r="G129" s="79" t="str">
        <f t="shared" si="19"/>
        <v/>
      </c>
      <c r="H129" s="82" t="s">
        <v>54</v>
      </c>
      <c r="I129" s="21" t="s">
        <v>54</v>
      </c>
      <c r="J129" s="16"/>
    </row>
    <row r="130" ht="31.5" customHeight="1">
      <c r="A130" s="21" t="s">
        <v>54</v>
      </c>
      <c r="B130" s="21" t="s">
        <v>54</v>
      </c>
      <c r="C130" s="21" t="s">
        <v>54</v>
      </c>
      <c r="D130" s="82" t="s">
        <v>54</v>
      </c>
      <c r="E130" s="82" t="s">
        <v>54</v>
      </c>
      <c r="F130" s="79" t="str">
        <f t="shared" si="18"/>
        <v/>
      </c>
      <c r="G130" s="79" t="str">
        <f t="shared" si="19"/>
        <v/>
      </c>
      <c r="H130" s="82" t="s">
        <v>54</v>
      </c>
      <c r="I130" s="21" t="s">
        <v>54</v>
      </c>
      <c r="J130" s="16"/>
    </row>
    <row r="131" ht="31.5" customHeight="1">
      <c r="A131" s="21" t="s">
        <v>54</v>
      </c>
      <c r="B131" s="21" t="s">
        <v>54</v>
      </c>
      <c r="C131" s="21" t="s">
        <v>54</v>
      </c>
      <c r="D131" s="82" t="s">
        <v>54</v>
      </c>
      <c r="E131" s="82" t="s">
        <v>54</v>
      </c>
      <c r="F131" s="79" t="str">
        <f t="shared" si="18"/>
        <v/>
      </c>
      <c r="G131" s="79" t="str">
        <f t="shared" si="19"/>
        <v/>
      </c>
      <c r="H131" s="82" t="s">
        <v>54</v>
      </c>
      <c r="I131" s="21" t="s">
        <v>54</v>
      </c>
      <c r="J131" s="16"/>
    </row>
    <row r="132" ht="31.5" customHeight="1">
      <c r="A132" s="21" t="s">
        <v>54</v>
      </c>
      <c r="B132" s="21" t="s">
        <v>54</v>
      </c>
      <c r="C132" s="21" t="s">
        <v>54</v>
      </c>
      <c r="D132" s="82" t="s">
        <v>54</v>
      </c>
      <c r="E132" s="82" t="s">
        <v>54</v>
      </c>
      <c r="F132" s="79" t="str">
        <f t="shared" si="18"/>
        <v/>
      </c>
      <c r="G132" s="79" t="str">
        <f t="shared" si="19"/>
        <v/>
      </c>
      <c r="H132" s="82" t="s">
        <v>54</v>
      </c>
      <c r="I132" s="21" t="s">
        <v>54</v>
      </c>
      <c r="J132" s="16"/>
    </row>
    <row r="133" ht="31.5" customHeight="1">
      <c r="A133" s="21" t="s">
        <v>54</v>
      </c>
      <c r="B133" s="21" t="s">
        <v>54</v>
      </c>
      <c r="C133" s="21" t="s">
        <v>54</v>
      </c>
      <c r="D133" s="82" t="s">
        <v>54</v>
      </c>
      <c r="E133" s="82" t="s">
        <v>54</v>
      </c>
      <c r="F133" s="79" t="str">
        <f t="shared" si="18"/>
        <v/>
      </c>
      <c r="G133" s="79" t="str">
        <f t="shared" si="19"/>
        <v/>
      </c>
      <c r="H133" s="82" t="s">
        <v>54</v>
      </c>
      <c r="I133" s="21" t="s">
        <v>54</v>
      </c>
      <c r="J133" s="16"/>
    </row>
    <row r="134" ht="31.5" customHeight="1">
      <c r="A134" s="21" t="s">
        <v>54</v>
      </c>
      <c r="B134" s="21" t="s">
        <v>54</v>
      </c>
      <c r="C134" s="21" t="s">
        <v>54</v>
      </c>
      <c r="D134" s="82" t="s">
        <v>54</v>
      </c>
      <c r="E134" s="82" t="s">
        <v>54</v>
      </c>
      <c r="F134" s="79" t="str">
        <f t="shared" si="18"/>
        <v/>
      </c>
      <c r="G134" s="79" t="str">
        <f t="shared" si="19"/>
        <v/>
      </c>
      <c r="H134" s="82" t="s">
        <v>54</v>
      </c>
      <c r="I134" s="21" t="s">
        <v>54</v>
      </c>
      <c r="J134" s="16"/>
    </row>
    <row r="135" ht="31.5" customHeight="1">
      <c r="A135" s="21" t="s">
        <v>54</v>
      </c>
      <c r="B135" s="21" t="s">
        <v>54</v>
      </c>
      <c r="C135" s="21" t="s">
        <v>54</v>
      </c>
      <c r="D135" s="82" t="s">
        <v>54</v>
      </c>
      <c r="E135" s="82" t="s">
        <v>54</v>
      </c>
      <c r="F135" s="79" t="str">
        <f t="shared" si="18"/>
        <v/>
      </c>
      <c r="G135" s="79" t="str">
        <f t="shared" si="19"/>
        <v/>
      </c>
      <c r="H135" s="82" t="s">
        <v>54</v>
      </c>
      <c r="I135" s="21" t="s">
        <v>54</v>
      </c>
      <c r="J135" s="16"/>
    </row>
    <row r="136" ht="31.5" customHeight="1">
      <c r="A136" s="21" t="s">
        <v>54</v>
      </c>
      <c r="B136" s="21" t="s">
        <v>54</v>
      </c>
      <c r="C136" s="21" t="s">
        <v>54</v>
      </c>
      <c r="D136" s="82" t="s">
        <v>54</v>
      </c>
      <c r="E136" s="82" t="s">
        <v>54</v>
      </c>
      <c r="F136" s="79" t="str">
        <f t="shared" si="18"/>
        <v/>
      </c>
      <c r="G136" s="79" t="str">
        <f t="shared" si="19"/>
        <v/>
      </c>
      <c r="H136" s="82" t="s">
        <v>54</v>
      </c>
      <c r="I136" s="21" t="s">
        <v>54</v>
      </c>
      <c r="J136" s="16"/>
    </row>
    <row r="137" ht="31.5" customHeight="1">
      <c r="A137" s="21" t="s">
        <v>54</v>
      </c>
      <c r="B137" s="21" t="s">
        <v>54</v>
      </c>
      <c r="C137" s="21" t="s">
        <v>54</v>
      </c>
      <c r="D137" s="82" t="s">
        <v>54</v>
      </c>
      <c r="E137" s="82" t="s">
        <v>54</v>
      </c>
      <c r="F137" s="79" t="str">
        <f t="shared" si="18"/>
        <v/>
      </c>
      <c r="G137" s="79" t="str">
        <f t="shared" si="19"/>
        <v/>
      </c>
      <c r="H137" s="82" t="s">
        <v>54</v>
      </c>
      <c r="I137" s="21" t="s">
        <v>54</v>
      </c>
      <c r="J137" s="16"/>
    </row>
    <row r="138" ht="31.5" customHeight="1">
      <c r="A138" s="21" t="s">
        <v>54</v>
      </c>
      <c r="B138" s="21" t="s">
        <v>54</v>
      </c>
      <c r="C138" s="21" t="s">
        <v>54</v>
      </c>
      <c r="D138" s="82" t="s">
        <v>54</v>
      </c>
      <c r="E138" s="82" t="s">
        <v>54</v>
      </c>
      <c r="F138" s="79" t="str">
        <f t="shared" si="18"/>
        <v/>
      </c>
      <c r="G138" s="79" t="str">
        <f t="shared" si="19"/>
        <v/>
      </c>
      <c r="H138" s="82" t="s">
        <v>54</v>
      </c>
      <c r="I138" s="21" t="s">
        <v>54</v>
      </c>
      <c r="J138" s="16"/>
    </row>
    <row r="139" ht="31.5" customHeight="1">
      <c r="A139" s="21" t="s">
        <v>54</v>
      </c>
      <c r="B139" s="21" t="s">
        <v>54</v>
      </c>
      <c r="C139" s="21" t="s">
        <v>54</v>
      </c>
      <c r="D139" s="82" t="s">
        <v>54</v>
      </c>
      <c r="E139" s="82" t="s">
        <v>54</v>
      </c>
      <c r="F139" s="79" t="str">
        <f t="shared" si="18"/>
        <v/>
      </c>
      <c r="G139" s="79" t="str">
        <f t="shared" si="19"/>
        <v/>
      </c>
      <c r="H139" s="82" t="s">
        <v>54</v>
      </c>
      <c r="I139" s="21" t="s">
        <v>54</v>
      </c>
      <c r="J139" s="16"/>
    </row>
    <row r="140" ht="31.5" customHeight="1">
      <c r="A140" s="21" t="s">
        <v>54</v>
      </c>
      <c r="B140" s="21" t="s">
        <v>54</v>
      </c>
      <c r="C140" s="21" t="s">
        <v>54</v>
      </c>
      <c r="D140" s="82" t="s">
        <v>54</v>
      </c>
      <c r="E140" s="82" t="s">
        <v>54</v>
      </c>
      <c r="F140" s="79" t="str">
        <f t="shared" si="18"/>
        <v/>
      </c>
      <c r="G140" s="79" t="str">
        <f t="shared" si="19"/>
        <v/>
      </c>
      <c r="H140" s="82" t="s">
        <v>54</v>
      </c>
      <c r="I140" s="21" t="s">
        <v>54</v>
      </c>
      <c r="J140" s="16"/>
    </row>
    <row r="141" ht="31.5" customHeight="1">
      <c r="A141" s="21" t="s">
        <v>54</v>
      </c>
      <c r="B141" s="21" t="s">
        <v>54</v>
      </c>
      <c r="C141" s="21" t="s">
        <v>54</v>
      </c>
      <c r="D141" s="82" t="s">
        <v>54</v>
      </c>
      <c r="E141" s="82" t="s">
        <v>54</v>
      </c>
      <c r="F141" s="79" t="str">
        <f t="shared" si="18"/>
        <v/>
      </c>
      <c r="G141" s="79" t="str">
        <f t="shared" si="19"/>
        <v/>
      </c>
      <c r="H141" s="82" t="s">
        <v>54</v>
      </c>
      <c r="I141" s="21" t="s">
        <v>54</v>
      </c>
      <c r="J141" s="16"/>
    </row>
    <row r="142" ht="31.5" customHeight="1">
      <c r="A142" s="21" t="s">
        <v>54</v>
      </c>
      <c r="B142" s="21" t="s">
        <v>54</v>
      </c>
      <c r="C142" s="21" t="s">
        <v>54</v>
      </c>
      <c r="D142" s="82" t="s">
        <v>54</v>
      </c>
      <c r="E142" s="82" t="s">
        <v>54</v>
      </c>
      <c r="F142" s="79" t="str">
        <f t="shared" si="18"/>
        <v/>
      </c>
      <c r="G142" s="79" t="str">
        <f t="shared" si="19"/>
        <v/>
      </c>
      <c r="H142" s="82" t="s">
        <v>54</v>
      </c>
      <c r="I142" s="21" t="s">
        <v>54</v>
      </c>
      <c r="J142" s="16"/>
    </row>
    <row r="143" ht="31.5" customHeight="1">
      <c r="A143" s="21" t="s">
        <v>54</v>
      </c>
      <c r="B143" s="21" t="s">
        <v>54</v>
      </c>
      <c r="C143" s="21" t="s">
        <v>54</v>
      </c>
      <c r="D143" s="82" t="s">
        <v>54</v>
      </c>
      <c r="E143" s="82" t="s">
        <v>54</v>
      </c>
      <c r="F143" s="79" t="str">
        <f t="shared" si="18"/>
        <v/>
      </c>
      <c r="G143" s="79" t="str">
        <f t="shared" si="19"/>
        <v/>
      </c>
      <c r="H143" s="82" t="s">
        <v>54</v>
      </c>
      <c r="I143" s="21" t="s">
        <v>54</v>
      </c>
      <c r="J143" s="16"/>
    </row>
    <row r="144" ht="31.5" customHeight="1">
      <c r="A144" s="21" t="s">
        <v>54</v>
      </c>
      <c r="B144" s="21" t="s">
        <v>54</v>
      </c>
      <c r="C144" s="21" t="s">
        <v>54</v>
      </c>
      <c r="D144" s="82" t="s">
        <v>54</v>
      </c>
      <c r="E144" s="82" t="s">
        <v>54</v>
      </c>
      <c r="F144" s="79" t="str">
        <f t="shared" si="18"/>
        <v/>
      </c>
      <c r="G144" s="79" t="str">
        <f t="shared" si="19"/>
        <v/>
      </c>
      <c r="H144" s="82" t="s">
        <v>54</v>
      </c>
      <c r="I144" s="21" t="s">
        <v>54</v>
      </c>
      <c r="J144" s="16"/>
    </row>
    <row r="145" ht="31.5" customHeight="1">
      <c r="A145" s="21" t="s">
        <v>54</v>
      </c>
      <c r="B145" s="21" t="s">
        <v>54</v>
      </c>
      <c r="C145" s="21" t="s">
        <v>54</v>
      </c>
      <c r="D145" s="82" t="s">
        <v>54</v>
      </c>
      <c r="E145" s="82" t="s">
        <v>54</v>
      </c>
      <c r="F145" s="79" t="str">
        <f t="shared" si="18"/>
        <v/>
      </c>
      <c r="G145" s="79" t="str">
        <f t="shared" si="19"/>
        <v/>
      </c>
      <c r="H145" s="82" t="s">
        <v>54</v>
      </c>
      <c r="I145" s="21" t="s">
        <v>54</v>
      </c>
      <c r="J145" s="16"/>
    </row>
    <row r="146" ht="31.5" customHeight="1">
      <c r="A146" s="21" t="s">
        <v>54</v>
      </c>
      <c r="B146" s="21" t="s">
        <v>54</v>
      </c>
      <c r="C146" s="21" t="s">
        <v>54</v>
      </c>
      <c r="D146" s="82" t="s">
        <v>54</v>
      </c>
      <c r="E146" s="82" t="s">
        <v>54</v>
      </c>
      <c r="F146" s="79" t="str">
        <f t="shared" si="18"/>
        <v/>
      </c>
      <c r="G146" s="79" t="str">
        <f t="shared" si="19"/>
        <v/>
      </c>
      <c r="H146" s="82" t="s">
        <v>54</v>
      </c>
      <c r="I146" s="21" t="s">
        <v>54</v>
      </c>
      <c r="J146" s="16"/>
    </row>
    <row r="147" ht="31.5" customHeight="1">
      <c r="A147" s="21" t="s">
        <v>54</v>
      </c>
      <c r="B147" s="21" t="s">
        <v>54</v>
      </c>
      <c r="C147" s="21" t="s">
        <v>54</v>
      </c>
      <c r="D147" s="82" t="s">
        <v>54</v>
      </c>
      <c r="E147" s="82" t="s">
        <v>54</v>
      </c>
      <c r="F147" s="79" t="str">
        <f t="shared" si="18"/>
        <v/>
      </c>
      <c r="G147" s="79" t="str">
        <f t="shared" si="19"/>
        <v/>
      </c>
      <c r="H147" s="82" t="s">
        <v>54</v>
      </c>
      <c r="I147" s="21" t="s">
        <v>54</v>
      </c>
      <c r="J147" s="16"/>
    </row>
    <row r="148" ht="31.5" customHeight="1">
      <c r="A148" s="21" t="s">
        <v>54</v>
      </c>
      <c r="B148" s="21" t="s">
        <v>54</v>
      </c>
      <c r="C148" s="21" t="s">
        <v>54</v>
      </c>
      <c r="D148" s="82" t="s">
        <v>54</v>
      </c>
      <c r="E148" s="82" t="s">
        <v>54</v>
      </c>
      <c r="F148" s="79" t="str">
        <f t="shared" si="18"/>
        <v/>
      </c>
      <c r="G148" s="79" t="str">
        <f t="shared" si="19"/>
        <v/>
      </c>
      <c r="H148" s="82" t="s">
        <v>54</v>
      </c>
      <c r="I148" s="21" t="s">
        <v>54</v>
      </c>
      <c r="J148" s="16"/>
    </row>
    <row r="149" ht="31.5" customHeight="1">
      <c r="A149" s="21" t="s">
        <v>54</v>
      </c>
      <c r="B149" s="21" t="s">
        <v>54</v>
      </c>
      <c r="C149" s="21" t="s">
        <v>54</v>
      </c>
      <c r="D149" s="82" t="s">
        <v>54</v>
      </c>
      <c r="E149" s="82" t="s">
        <v>54</v>
      </c>
      <c r="F149" s="79" t="str">
        <f t="shared" si="18"/>
        <v/>
      </c>
      <c r="G149" s="79" t="str">
        <f t="shared" si="19"/>
        <v/>
      </c>
      <c r="H149" s="82" t="s">
        <v>54</v>
      </c>
      <c r="I149" s="21" t="s">
        <v>54</v>
      </c>
      <c r="J149" s="16"/>
    </row>
    <row r="150" ht="31.5" customHeight="1">
      <c r="A150" s="21" t="s">
        <v>54</v>
      </c>
      <c r="B150" s="21" t="s">
        <v>54</v>
      </c>
      <c r="C150" s="21" t="s">
        <v>54</v>
      </c>
      <c r="D150" s="82" t="s">
        <v>54</v>
      </c>
      <c r="E150" s="82" t="s">
        <v>54</v>
      </c>
      <c r="F150" s="79" t="str">
        <f t="shared" si="18"/>
        <v/>
      </c>
      <c r="G150" s="79" t="str">
        <f t="shared" si="19"/>
        <v/>
      </c>
      <c r="H150" s="82" t="s">
        <v>54</v>
      </c>
      <c r="I150" s="21" t="s">
        <v>54</v>
      </c>
      <c r="J150" s="16"/>
    </row>
    <row r="151" ht="31.5" customHeight="1">
      <c r="A151" s="21" t="s">
        <v>54</v>
      </c>
      <c r="B151" s="21" t="s">
        <v>54</v>
      </c>
      <c r="C151" s="21" t="s">
        <v>54</v>
      </c>
      <c r="D151" s="82" t="s">
        <v>54</v>
      </c>
      <c r="E151" s="82" t="s">
        <v>54</v>
      </c>
      <c r="F151" s="79" t="str">
        <f t="shared" si="18"/>
        <v/>
      </c>
      <c r="G151" s="79" t="str">
        <f t="shared" si="19"/>
        <v/>
      </c>
      <c r="H151" s="82" t="s">
        <v>54</v>
      </c>
      <c r="I151" s="21" t="s">
        <v>54</v>
      </c>
      <c r="J151" s="16"/>
    </row>
    <row r="152" ht="31.5" customHeight="1">
      <c r="A152" s="21" t="s">
        <v>54</v>
      </c>
      <c r="B152" s="21" t="s">
        <v>54</v>
      </c>
      <c r="C152" s="21" t="s">
        <v>54</v>
      </c>
      <c r="D152" s="82" t="s">
        <v>54</v>
      </c>
      <c r="E152" s="82" t="s">
        <v>54</v>
      </c>
      <c r="F152" s="79" t="str">
        <f t="shared" si="18"/>
        <v/>
      </c>
      <c r="G152" s="79" t="str">
        <f t="shared" si="19"/>
        <v/>
      </c>
      <c r="H152" s="82" t="s">
        <v>54</v>
      </c>
      <c r="I152" s="21" t="s">
        <v>54</v>
      </c>
      <c r="J152" s="16"/>
    </row>
    <row r="153" ht="31.5" customHeight="1">
      <c r="A153" s="21" t="s">
        <v>54</v>
      </c>
      <c r="B153" s="21" t="s">
        <v>54</v>
      </c>
      <c r="C153" s="21" t="s">
        <v>54</v>
      </c>
      <c r="D153" s="82" t="s">
        <v>54</v>
      </c>
      <c r="E153" s="82" t="s">
        <v>54</v>
      </c>
      <c r="F153" s="79" t="str">
        <f t="shared" si="18"/>
        <v/>
      </c>
      <c r="G153" s="79" t="str">
        <f t="shared" si="19"/>
        <v/>
      </c>
      <c r="H153" s="82" t="s">
        <v>54</v>
      </c>
      <c r="I153" s="21" t="s">
        <v>54</v>
      </c>
      <c r="J153" s="16"/>
    </row>
    <row r="154" ht="31.5" customHeight="1">
      <c r="A154" s="21" t="s">
        <v>54</v>
      </c>
      <c r="B154" s="21" t="s">
        <v>54</v>
      </c>
      <c r="C154" s="21" t="s">
        <v>54</v>
      </c>
      <c r="D154" s="82" t="s">
        <v>54</v>
      </c>
      <c r="E154" s="82" t="s">
        <v>54</v>
      </c>
      <c r="F154" s="79" t="str">
        <f t="shared" si="18"/>
        <v/>
      </c>
      <c r="G154" s="79" t="str">
        <f t="shared" si="19"/>
        <v/>
      </c>
      <c r="H154" s="82" t="s">
        <v>54</v>
      </c>
      <c r="I154" s="21" t="s">
        <v>54</v>
      </c>
      <c r="J154" s="16"/>
    </row>
    <row r="155" ht="31.5" customHeight="1">
      <c r="A155" s="21" t="s">
        <v>54</v>
      </c>
      <c r="B155" s="21" t="s">
        <v>54</v>
      </c>
      <c r="C155" s="21" t="s">
        <v>54</v>
      </c>
      <c r="D155" s="82" t="s">
        <v>54</v>
      </c>
      <c r="E155" s="82" t="s">
        <v>54</v>
      </c>
      <c r="F155" s="79" t="str">
        <f t="shared" si="18"/>
        <v/>
      </c>
      <c r="G155" s="79" t="str">
        <f t="shared" si="19"/>
        <v/>
      </c>
      <c r="H155" s="82" t="s">
        <v>54</v>
      </c>
      <c r="I155" s="21" t="s">
        <v>54</v>
      </c>
      <c r="J155" s="16"/>
    </row>
    <row r="156" ht="31.5" customHeight="1">
      <c r="A156" s="21" t="s">
        <v>54</v>
      </c>
      <c r="B156" s="21" t="s">
        <v>54</v>
      </c>
      <c r="C156" s="21" t="s">
        <v>54</v>
      </c>
      <c r="D156" s="82" t="s">
        <v>54</v>
      </c>
      <c r="E156" s="82" t="s">
        <v>54</v>
      </c>
      <c r="F156" s="79" t="str">
        <f t="shared" si="18"/>
        <v/>
      </c>
      <c r="G156" s="79" t="str">
        <f t="shared" si="19"/>
        <v/>
      </c>
      <c r="H156" s="82" t="s">
        <v>54</v>
      </c>
      <c r="I156" s="21" t="s">
        <v>54</v>
      </c>
      <c r="J156" s="16"/>
    </row>
    <row r="157" ht="31.5" customHeight="1">
      <c r="A157" s="21" t="s">
        <v>54</v>
      </c>
      <c r="B157" s="21" t="s">
        <v>54</v>
      </c>
      <c r="C157" s="21" t="s">
        <v>54</v>
      </c>
      <c r="D157" s="82" t="s">
        <v>54</v>
      </c>
      <c r="E157" s="82" t="s">
        <v>54</v>
      </c>
      <c r="F157" s="79" t="str">
        <f t="shared" si="18"/>
        <v/>
      </c>
      <c r="G157" s="79" t="str">
        <f t="shared" si="19"/>
        <v/>
      </c>
      <c r="H157" s="82" t="s">
        <v>54</v>
      </c>
      <c r="I157" s="21" t="s">
        <v>54</v>
      </c>
      <c r="J157" s="16"/>
    </row>
    <row r="158" ht="31.5" customHeight="1">
      <c r="A158" s="21" t="s">
        <v>54</v>
      </c>
      <c r="B158" s="21" t="s">
        <v>54</v>
      </c>
      <c r="C158" s="21" t="s">
        <v>54</v>
      </c>
      <c r="D158" s="82" t="s">
        <v>54</v>
      </c>
      <c r="E158" s="82" t="s">
        <v>54</v>
      </c>
      <c r="F158" s="79" t="str">
        <f t="shared" si="18"/>
        <v/>
      </c>
      <c r="G158" s="79" t="str">
        <f t="shared" si="19"/>
        <v/>
      </c>
      <c r="H158" s="82" t="s">
        <v>54</v>
      </c>
      <c r="I158" s="21" t="s">
        <v>54</v>
      </c>
      <c r="J158" s="16"/>
    </row>
    <row r="159" ht="31.5" customHeight="1">
      <c r="A159" s="21" t="s">
        <v>54</v>
      </c>
      <c r="B159" s="21" t="s">
        <v>54</v>
      </c>
      <c r="C159" s="21" t="s">
        <v>54</v>
      </c>
      <c r="D159" s="82" t="s">
        <v>54</v>
      </c>
      <c r="E159" s="82" t="s">
        <v>54</v>
      </c>
      <c r="F159" s="79" t="str">
        <f t="shared" si="18"/>
        <v/>
      </c>
      <c r="G159" s="79" t="str">
        <f t="shared" si="19"/>
        <v/>
      </c>
      <c r="H159" s="82" t="s">
        <v>54</v>
      </c>
      <c r="I159" s="21" t="s">
        <v>54</v>
      </c>
      <c r="J159" s="16"/>
    </row>
    <row r="160" ht="31.5" customHeight="1">
      <c r="A160" s="21" t="s">
        <v>54</v>
      </c>
      <c r="B160" s="21" t="s">
        <v>54</v>
      </c>
      <c r="C160" s="21" t="s">
        <v>54</v>
      </c>
      <c r="D160" s="82" t="s">
        <v>54</v>
      </c>
      <c r="E160" s="82" t="s">
        <v>54</v>
      </c>
      <c r="F160" s="79" t="str">
        <f t="shared" si="18"/>
        <v/>
      </c>
      <c r="G160" s="79" t="str">
        <f t="shared" si="19"/>
        <v/>
      </c>
      <c r="H160" s="82" t="s">
        <v>54</v>
      </c>
      <c r="I160" s="21" t="s">
        <v>54</v>
      </c>
      <c r="J160" s="16"/>
    </row>
    <row r="161" ht="31.5" customHeight="1">
      <c r="A161" s="21" t="s">
        <v>54</v>
      </c>
      <c r="B161" s="21" t="s">
        <v>54</v>
      </c>
      <c r="C161" s="21" t="s">
        <v>54</v>
      </c>
      <c r="D161" s="82" t="s">
        <v>54</v>
      </c>
      <c r="E161" s="82" t="s">
        <v>54</v>
      </c>
      <c r="F161" s="79" t="str">
        <f t="shared" si="18"/>
        <v/>
      </c>
      <c r="G161" s="79" t="str">
        <f t="shared" si="19"/>
        <v/>
      </c>
      <c r="H161" s="82" t="s">
        <v>54</v>
      </c>
      <c r="I161" s="21" t="s">
        <v>54</v>
      </c>
      <c r="J161" s="16"/>
    </row>
    <row r="162" ht="31.5" customHeight="1">
      <c r="A162" s="21" t="s">
        <v>54</v>
      </c>
      <c r="B162" s="21" t="s">
        <v>54</v>
      </c>
      <c r="C162" s="21" t="s">
        <v>54</v>
      </c>
      <c r="D162" s="82" t="s">
        <v>54</v>
      </c>
      <c r="E162" s="82" t="s">
        <v>54</v>
      </c>
      <c r="F162" s="79" t="str">
        <f t="shared" si="18"/>
        <v/>
      </c>
      <c r="G162" s="79" t="str">
        <f t="shared" si="19"/>
        <v/>
      </c>
      <c r="H162" s="82" t="s">
        <v>54</v>
      </c>
      <c r="I162" s="21" t="s">
        <v>54</v>
      </c>
      <c r="J162" s="16"/>
    </row>
    <row r="163" ht="31.5" customHeight="1">
      <c r="A163" s="21" t="s">
        <v>54</v>
      </c>
      <c r="B163" s="21" t="s">
        <v>54</v>
      </c>
      <c r="C163" s="21" t="s">
        <v>54</v>
      </c>
      <c r="D163" s="82" t="s">
        <v>54</v>
      </c>
      <c r="E163" s="82" t="s">
        <v>54</v>
      </c>
      <c r="F163" s="79" t="str">
        <f t="shared" si="18"/>
        <v/>
      </c>
      <c r="G163" s="79" t="str">
        <f t="shared" si="19"/>
        <v/>
      </c>
      <c r="H163" s="82" t="s">
        <v>54</v>
      </c>
      <c r="I163" s="21" t="s">
        <v>54</v>
      </c>
      <c r="J163" s="16"/>
    </row>
    <row r="164" ht="31.5" customHeight="1">
      <c r="A164" s="21" t="s">
        <v>54</v>
      </c>
      <c r="B164" s="21" t="s">
        <v>54</v>
      </c>
      <c r="C164" s="21" t="s">
        <v>54</v>
      </c>
      <c r="D164" s="82" t="s">
        <v>54</v>
      </c>
      <c r="E164" s="82" t="s">
        <v>54</v>
      </c>
      <c r="F164" s="79" t="str">
        <f t="shared" si="18"/>
        <v/>
      </c>
      <c r="G164" s="79" t="str">
        <f t="shared" si="19"/>
        <v/>
      </c>
      <c r="H164" s="82" t="s">
        <v>54</v>
      </c>
      <c r="I164" s="21" t="s">
        <v>54</v>
      </c>
      <c r="J164" s="16"/>
    </row>
    <row r="165" ht="31.5" customHeight="1">
      <c r="A165" s="21" t="s">
        <v>54</v>
      </c>
      <c r="B165" s="21" t="s">
        <v>54</v>
      </c>
      <c r="C165" s="21" t="s">
        <v>54</v>
      </c>
      <c r="D165" s="82" t="s">
        <v>54</v>
      </c>
      <c r="E165" s="82" t="s">
        <v>54</v>
      </c>
      <c r="F165" s="79" t="str">
        <f t="shared" si="18"/>
        <v/>
      </c>
      <c r="G165" s="79" t="str">
        <f t="shared" si="19"/>
        <v/>
      </c>
      <c r="H165" s="82" t="s">
        <v>54</v>
      </c>
      <c r="I165" s="21" t="s">
        <v>54</v>
      </c>
      <c r="J165" s="16"/>
    </row>
    <row r="166" ht="31.5" customHeight="1">
      <c r="A166" s="21" t="s">
        <v>54</v>
      </c>
      <c r="B166" s="21" t="s">
        <v>54</v>
      </c>
      <c r="C166" s="21" t="s">
        <v>54</v>
      </c>
      <c r="D166" s="82" t="s">
        <v>54</v>
      </c>
      <c r="E166" s="82" t="s">
        <v>54</v>
      </c>
      <c r="F166" s="79" t="str">
        <f t="shared" si="18"/>
        <v/>
      </c>
      <c r="G166" s="79" t="str">
        <f t="shared" si="19"/>
        <v/>
      </c>
      <c r="H166" s="82" t="s">
        <v>54</v>
      </c>
      <c r="I166" s="21" t="s">
        <v>54</v>
      </c>
      <c r="J166" s="16"/>
    </row>
    <row r="167" ht="31.5" customHeight="1">
      <c r="A167" s="21" t="s">
        <v>54</v>
      </c>
      <c r="B167" s="21" t="s">
        <v>54</v>
      </c>
      <c r="C167" s="21" t="s">
        <v>54</v>
      </c>
      <c r="D167" s="82" t="s">
        <v>54</v>
      </c>
      <c r="E167" s="82" t="s">
        <v>54</v>
      </c>
      <c r="F167" s="79" t="str">
        <f t="shared" si="18"/>
        <v/>
      </c>
      <c r="G167" s="79" t="str">
        <f t="shared" si="19"/>
        <v/>
      </c>
      <c r="H167" s="82" t="s">
        <v>54</v>
      </c>
      <c r="I167" s="21" t="s">
        <v>54</v>
      </c>
      <c r="J167" s="16"/>
    </row>
    <row r="168" ht="31.5" customHeight="1">
      <c r="A168" s="21" t="s">
        <v>54</v>
      </c>
      <c r="B168" s="21" t="s">
        <v>54</v>
      </c>
      <c r="C168" s="21" t="s">
        <v>54</v>
      </c>
      <c r="D168" s="82" t="s">
        <v>54</v>
      </c>
      <c r="E168" s="82" t="s">
        <v>54</v>
      </c>
      <c r="F168" s="79" t="str">
        <f t="shared" si="18"/>
        <v/>
      </c>
      <c r="G168" s="79" t="str">
        <f t="shared" si="19"/>
        <v/>
      </c>
      <c r="H168" s="82" t="s">
        <v>54</v>
      </c>
      <c r="I168" s="21" t="s">
        <v>54</v>
      </c>
      <c r="J168" s="16"/>
    </row>
    <row r="169" ht="31.5" customHeight="1">
      <c r="A169" s="21" t="s">
        <v>54</v>
      </c>
      <c r="B169" s="21" t="s">
        <v>54</v>
      </c>
      <c r="C169" s="21" t="s">
        <v>54</v>
      </c>
      <c r="D169" s="82" t="s">
        <v>54</v>
      </c>
      <c r="E169" s="82" t="s">
        <v>54</v>
      </c>
      <c r="F169" s="79" t="str">
        <f t="shared" si="18"/>
        <v/>
      </c>
      <c r="G169" s="79" t="str">
        <f t="shared" si="19"/>
        <v/>
      </c>
      <c r="H169" s="82" t="s">
        <v>54</v>
      </c>
      <c r="I169" s="21" t="s">
        <v>54</v>
      </c>
      <c r="J169" s="16"/>
    </row>
    <row r="170" ht="31.5" customHeight="1">
      <c r="A170" s="21" t="s">
        <v>54</v>
      </c>
      <c r="B170" s="21" t="s">
        <v>54</v>
      </c>
      <c r="C170" s="21" t="s">
        <v>54</v>
      </c>
      <c r="D170" s="82" t="s">
        <v>54</v>
      </c>
      <c r="E170" s="82" t="s">
        <v>54</v>
      </c>
      <c r="F170" s="79" t="str">
        <f t="shared" si="18"/>
        <v/>
      </c>
      <c r="G170" s="79" t="str">
        <f t="shared" si="19"/>
        <v/>
      </c>
      <c r="H170" s="82" t="s">
        <v>54</v>
      </c>
      <c r="I170" s="21" t="s">
        <v>54</v>
      </c>
      <c r="J170" s="16"/>
    </row>
    <row r="171" ht="31.5" customHeight="1">
      <c r="A171" s="21" t="s">
        <v>54</v>
      </c>
      <c r="B171" s="21" t="s">
        <v>54</v>
      </c>
      <c r="C171" s="21" t="s">
        <v>54</v>
      </c>
      <c r="D171" s="82" t="s">
        <v>54</v>
      </c>
      <c r="E171" s="82" t="s">
        <v>54</v>
      </c>
      <c r="F171" s="79" t="str">
        <f t="shared" si="18"/>
        <v/>
      </c>
      <c r="G171" s="79" t="str">
        <f t="shared" si="19"/>
        <v/>
      </c>
      <c r="H171" s="82" t="s">
        <v>54</v>
      </c>
      <c r="I171" s="21" t="s">
        <v>54</v>
      </c>
      <c r="J171" s="16"/>
    </row>
    <row r="172" ht="31.5" customHeight="1">
      <c r="A172" s="21" t="s">
        <v>54</v>
      </c>
      <c r="B172" s="21" t="s">
        <v>54</v>
      </c>
      <c r="C172" s="21" t="s">
        <v>54</v>
      </c>
      <c r="D172" s="82" t="s">
        <v>54</v>
      </c>
      <c r="E172" s="82" t="s">
        <v>54</v>
      </c>
      <c r="F172" s="79" t="str">
        <f t="shared" si="18"/>
        <v/>
      </c>
      <c r="G172" s="79" t="str">
        <f t="shared" si="19"/>
        <v/>
      </c>
      <c r="H172" s="82" t="s">
        <v>54</v>
      </c>
      <c r="I172" s="21" t="s">
        <v>54</v>
      </c>
      <c r="J172" s="16"/>
    </row>
  </sheetData>
  <mergeCells count="20">
    <mergeCell ref="A2:J2"/>
    <mergeCell ref="A13:J13"/>
    <mergeCell ref="A20:J20"/>
    <mergeCell ref="A45:J45"/>
    <mergeCell ref="A46:J46"/>
    <mergeCell ref="A47:J47"/>
    <mergeCell ref="A48:J48"/>
    <mergeCell ref="A57:J57"/>
    <mergeCell ref="A58:J58"/>
    <mergeCell ref="A62:J62"/>
    <mergeCell ref="A68:J68"/>
    <mergeCell ref="A69:J69"/>
    <mergeCell ref="A70:J70"/>
    <mergeCell ref="A49:J49"/>
    <mergeCell ref="A50:J50"/>
    <mergeCell ref="A51:J51"/>
    <mergeCell ref="A52:J52"/>
    <mergeCell ref="A54:J54"/>
    <mergeCell ref="A55:J55"/>
    <mergeCell ref="A56:J56"/>
  </mergeCells>
  <dataValidations>
    <dataValidation type="list" allowBlank="1" showErrorMessage="1" sqref="B9">
      <formula1>"0,1"</formula1>
    </dataValidation>
    <dataValidation type="decimal" allowBlank="1" showDropDown="1" showErrorMessage="1" sqref="B5:B7">
      <formula1>0.0</formula1>
      <formula2>1.0</formula2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2.63"/>
    <col customWidth="1" min="3" max="3" width="22.0"/>
    <col customWidth="1" min="4" max="6" width="18.25"/>
    <col customWidth="1" min="7" max="7" width="21.38"/>
    <col customWidth="1" min="8" max="8" width="65.13"/>
  </cols>
  <sheetData>
    <row r="1" ht="36.0" customHeight="1">
      <c r="A1" s="15" t="s">
        <v>499</v>
      </c>
    </row>
    <row r="2" ht="36.0" customHeight="1">
      <c r="A2" s="16" t="s">
        <v>500</v>
      </c>
    </row>
    <row r="3" ht="36.0" customHeight="1">
      <c r="A3" s="16" t="s">
        <v>501</v>
      </c>
      <c r="B3" s="16" t="s">
        <v>54</v>
      </c>
      <c r="C3" s="64" t="s">
        <v>502</v>
      </c>
      <c r="D3" s="16" t="s">
        <v>54</v>
      </c>
      <c r="E3" s="16" t="s">
        <v>54</v>
      </c>
      <c r="F3" s="16" t="s">
        <v>54</v>
      </c>
      <c r="G3" s="16" t="s">
        <v>54</v>
      </c>
      <c r="H3" s="16" t="s">
        <v>54</v>
      </c>
    </row>
    <row r="4" ht="36.0" customHeight="1">
      <c r="A4" s="16" t="s">
        <v>54</v>
      </c>
      <c r="B4" s="16" t="s">
        <v>54</v>
      </c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</row>
    <row r="5" ht="36.0" customHeight="1">
      <c r="A5" s="15" t="s">
        <v>57</v>
      </c>
      <c r="B5" s="15" t="s">
        <v>54</v>
      </c>
      <c r="C5" s="15" t="s">
        <v>506</v>
      </c>
      <c r="D5" s="15" t="s">
        <v>54</v>
      </c>
      <c r="E5" s="15" t="s">
        <v>226</v>
      </c>
      <c r="F5" s="15" t="s">
        <v>54</v>
      </c>
      <c r="G5" s="15" t="s">
        <v>54</v>
      </c>
      <c r="H5" s="15" t="s">
        <v>54</v>
      </c>
    </row>
    <row r="6" ht="36.0" customHeight="1">
      <c r="A6" s="16" t="s">
        <v>508</v>
      </c>
      <c r="C6" s="65">
        <f>C66</f>
        <v>94069500</v>
      </c>
      <c r="D6" s="16" t="s">
        <v>54</v>
      </c>
      <c r="E6" s="16" t="s">
        <v>510</v>
      </c>
    </row>
    <row r="7" ht="36.0" customHeight="1">
      <c r="A7" s="16" t="s">
        <v>511</v>
      </c>
      <c r="C7" s="65">
        <f>C82</f>
        <v>1406305.824</v>
      </c>
      <c r="D7" s="16" t="s">
        <v>54</v>
      </c>
      <c r="E7" s="16" t="s">
        <v>513</v>
      </c>
    </row>
    <row r="8" ht="36.0" customHeight="1">
      <c r="A8" s="16" t="s">
        <v>514</v>
      </c>
      <c r="C8" s="66">
        <f t="shared" ref="C8:C10" si="1">C89</f>
        <v>150</v>
      </c>
      <c r="D8" s="16" t="s">
        <v>54</v>
      </c>
      <c r="E8" s="16" t="s">
        <v>516</v>
      </c>
    </row>
    <row r="9" ht="36.0" customHeight="1">
      <c r="A9" s="16" t="s">
        <v>517</v>
      </c>
      <c r="C9" s="65">
        <f t="shared" si="1"/>
        <v>290700</v>
      </c>
      <c r="D9" s="16" t="s">
        <v>54</v>
      </c>
      <c r="E9" s="16" t="s">
        <v>520</v>
      </c>
    </row>
    <row r="10" ht="36.0" customHeight="1">
      <c r="A10" s="16" t="s">
        <v>522</v>
      </c>
      <c r="C10" s="65">
        <f t="shared" si="1"/>
        <v>400125</v>
      </c>
      <c r="D10" s="16" t="s">
        <v>54</v>
      </c>
      <c r="E10" s="16" t="s">
        <v>524</v>
      </c>
    </row>
    <row r="11" ht="36.0" customHeight="1">
      <c r="A11" s="16" t="s">
        <v>525</v>
      </c>
      <c r="C11" s="28">
        <f>C59</f>
        <v>72333.33333</v>
      </c>
      <c r="D11" s="16" t="s">
        <v>54</v>
      </c>
      <c r="E11" s="16" t="s">
        <v>529</v>
      </c>
    </row>
    <row r="12" ht="36.0" customHeight="1">
      <c r="A12" s="16" t="s">
        <v>532</v>
      </c>
      <c r="C12" s="28">
        <f>C77</f>
        <v>725.648</v>
      </c>
      <c r="D12" s="16" t="s">
        <v>54</v>
      </c>
      <c r="E12" s="16" t="s">
        <v>535</v>
      </c>
    </row>
    <row r="13" ht="36.0" customHeight="1">
      <c r="A13" s="16" t="s">
        <v>54</v>
      </c>
      <c r="B13" s="16" t="s">
        <v>54</v>
      </c>
      <c r="C13" s="16" t="s">
        <v>54</v>
      </c>
      <c r="D13" s="16" t="s">
        <v>54</v>
      </c>
      <c r="E13" s="16" t="s">
        <v>54</v>
      </c>
      <c r="F13" s="16" t="s">
        <v>54</v>
      </c>
      <c r="G13" s="16" t="s">
        <v>54</v>
      </c>
      <c r="H13" s="16" t="s">
        <v>54</v>
      </c>
    </row>
    <row r="14" ht="36.0" customHeight="1">
      <c r="A14" s="15" t="s">
        <v>558</v>
      </c>
      <c r="B14" s="15" t="s">
        <v>54</v>
      </c>
      <c r="C14" s="15" t="s">
        <v>127</v>
      </c>
      <c r="D14" s="15" t="s">
        <v>54</v>
      </c>
      <c r="E14" s="15" t="s">
        <v>54</v>
      </c>
      <c r="F14" s="15" t="s">
        <v>54</v>
      </c>
      <c r="G14" s="15" t="s">
        <v>566</v>
      </c>
      <c r="H14" s="15" t="s">
        <v>568</v>
      </c>
    </row>
    <row r="15" ht="36.0" customHeight="1">
      <c r="A15" s="16" t="s">
        <v>572</v>
      </c>
      <c r="B15" s="16" t="s">
        <v>54</v>
      </c>
      <c r="C15" s="28">
        <v>3.1E7</v>
      </c>
      <c r="D15" s="16" t="s">
        <v>54</v>
      </c>
      <c r="E15" s="16" t="s">
        <v>54</v>
      </c>
      <c r="F15" s="16" t="s">
        <v>54</v>
      </c>
      <c r="G15" s="16" t="s">
        <v>575</v>
      </c>
      <c r="H15" s="16" t="s">
        <v>576</v>
      </c>
    </row>
    <row r="16" ht="36.0" customHeight="1">
      <c r="A16" s="16" t="s">
        <v>577</v>
      </c>
      <c r="B16" s="16" t="s">
        <v>54</v>
      </c>
      <c r="C16" s="28">
        <v>98000.0</v>
      </c>
      <c r="D16" s="16" t="s">
        <v>54</v>
      </c>
      <c r="E16" s="16" t="s">
        <v>54</v>
      </c>
      <c r="F16" s="16" t="s">
        <v>54</v>
      </c>
      <c r="G16" s="16" t="s">
        <v>575</v>
      </c>
      <c r="H16" s="16" t="s">
        <v>580</v>
      </c>
    </row>
    <row r="17" ht="36.0" customHeight="1">
      <c r="A17" s="16" t="s">
        <v>581</v>
      </c>
      <c r="B17" s="16" t="s">
        <v>54</v>
      </c>
      <c r="C17" s="28">
        <v>7970000.0</v>
      </c>
      <c r="D17" s="16" t="s">
        <v>54</v>
      </c>
      <c r="E17" s="16" t="s">
        <v>54</v>
      </c>
      <c r="F17" s="16" t="s">
        <v>54</v>
      </c>
      <c r="G17" s="16" t="s">
        <v>575</v>
      </c>
      <c r="H17" s="16" t="s">
        <v>585</v>
      </c>
    </row>
    <row r="18" ht="36.0" customHeight="1">
      <c r="A18" s="16" t="s">
        <v>586</v>
      </c>
      <c r="B18" s="16" t="s">
        <v>54</v>
      </c>
      <c r="C18" s="74">
        <v>0.016</v>
      </c>
      <c r="D18" s="16" t="s">
        <v>54</v>
      </c>
      <c r="E18" s="16" t="s">
        <v>54</v>
      </c>
      <c r="F18" s="16" t="s">
        <v>54</v>
      </c>
      <c r="G18" s="16" t="s">
        <v>575</v>
      </c>
      <c r="H18" s="16" t="s">
        <v>598</v>
      </c>
    </row>
    <row r="19" ht="36.0" customHeight="1">
      <c r="A19" s="16" t="s">
        <v>603</v>
      </c>
      <c r="B19" s="16" t="s">
        <v>54</v>
      </c>
      <c r="C19" s="28">
        <f>C17*C18</f>
        <v>127520</v>
      </c>
      <c r="D19" s="16" t="s">
        <v>54</v>
      </c>
      <c r="E19" s="16" t="s">
        <v>54</v>
      </c>
      <c r="F19" s="16" t="s">
        <v>54</v>
      </c>
      <c r="G19" s="16" t="s">
        <v>609</v>
      </c>
      <c r="H19" s="16" t="s">
        <v>610</v>
      </c>
    </row>
    <row r="20" ht="36.0" customHeight="1">
      <c r="A20" s="16" t="s">
        <v>611</v>
      </c>
      <c r="B20" s="16" t="s">
        <v>54</v>
      </c>
      <c r="C20" s="28">
        <v>33640.0</v>
      </c>
      <c r="D20" s="16" t="s">
        <v>54</v>
      </c>
      <c r="E20" s="16" t="s">
        <v>54</v>
      </c>
      <c r="F20" s="16" t="s">
        <v>54</v>
      </c>
      <c r="G20" s="16" t="s">
        <v>575</v>
      </c>
      <c r="H20" s="16" t="s">
        <v>612</v>
      </c>
    </row>
    <row r="21" ht="36.0" customHeight="1">
      <c r="A21" s="16" t="s">
        <v>613</v>
      </c>
      <c r="B21" s="16" t="s">
        <v>54</v>
      </c>
      <c r="C21" s="28">
        <f>SUM(C16,C19,C20)</f>
        <v>259160</v>
      </c>
      <c r="D21" s="16" t="s">
        <v>54</v>
      </c>
      <c r="E21" s="16" t="s">
        <v>54</v>
      </c>
      <c r="F21" s="16" t="s">
        <v>54</v>
      </c>
      <c r="G21" s="16" t="s">
        <v>619</v>
      </c>
      <c r="H21" s="16" t="s">
        <v>620</v>
      </c>
    </row>
    <row r="22" ht="36.0" customHeight="1">
      <c r="A22" s="16" t="s">
        <v>621</v>
      </c>
      <c r="B22" s="16" t="s">
        <v>54</v>
      </c>
      <c r="C22" s="24">
        <v>5.72203917257078E10</v>
      </c>
      <c r="D22" s="16" t="s">
        <v>54</v>
      </c>
      <c r="E22" s="16" t="s">
        <v>54</v>
      </c>
      <c r="F22" s="16" t="s">
        <v>54</v>
      </c>
      <c r="G22" s="16" t="s">
        <v>575</v>
      </c>
      <c r="H22" s="16" t="s">
        <v>625</v>
      </c>
    </row>
    <row r="23" ht="36.0" customHeight="1">
      <c r="A23" s="16" t="s">
        <v>626</v>
      </c>
      <c r="B23" s="16" t="s">
        <v>54</v>
      </c>
      <c r="C23" s="24">
        <v>6.90153000670355E8</v>
      </c>
      <c r="D23" s="16" t="s">
        <v>54</v>
      </c>
      <c r="E23" s="16" t="s">
        <v>54</v>
      </c>
      <c r="F23" s="16" t="s">
        <v>54</v>
      </c>
      <c r="G23" s="16" t="s">
        <v>575</v>
      </c>
      <c r="H23" s="16" t="s">
        <v>628</v>
      </c>
    </row>
    <row r="24" ht="36.0" customHeight="1">
      <c r="A24" s="16" t="s">
        <v>629</v>
      </c>
      <c r="B24" s="16" t="s">
        <v>54</v>
      </c>
      <c r="C24" s="24">
        <f>'Revenue Model'!B3</f>
        <v>150000</v>
      </c>
      <c r="D24" s="16" t="s">
        <v>54</v>
      </c>
      <c r="E24" s="16" t="s">
        <v>54</v>
      </c>
      <c r="F24" s="16" t="s">
        <v>54</v>
      </c>
      <c r="G24" s="16" t="s">
        <v>631</v>
      </c>
      <c r="H24" s="16" t="s">
        <v>633</v>
      </c>
    </row>
    <row r="25" ht="36.0" customHeight="1">
      <c r="A25" s="16" t="s">
        <v>179</v>
      </c>
      <c r="B25" s="16" t="s">
        <v>54</v>
      </c>
      <c r="C25" s="74">
        <f>'Revenue Model'!B2</f>
        <v>0.015</v>
      </c>
      <c r="D25" s="16" t="s">
        <v>54</v>
      </c>
      <c r="E25" s="16" t="s">
        <v>54</v>
      </c>
      <c r="F25" s="16" t="s">
        <v>54</v>
      </c>
      <c r="G25" s="16" t="s">
        <v>637</v>
      </c>
      <c r="H25" s="16" t="s">
        <v>638</v>
      </c>
    </row>
    <row r="26" ht="36.0" customHeight="1">
      <c r="A26" s="16" t="s">
        <v>640</v>
      </c>
      <c r="B26" s="16" t="s">
        <v>54</v>
      </c>
      <c r="C26" s="24">
        <f>'Revenue Model'!B13</f>
        <v>42.5</v>
      </c>
      <c r="D26" s="16" t="s">
        <v>54</v>
      </c>
      <c r="E26" s="16" t="s">
        <v>54</v>
      </c>
      <c r="F26" s="16" t="s">
        <v>54</v>
      </c>
      <c r="G26" s="16" t="s">
        <v>637</v>
      </c>
      <c r="H26" s="16" t="s">
        <v>644</v>
      </c>
    </row>
    <row r="27" ht="36.0" customHeight="1">
      <c r="A27" s="16" t="s">
        <v>647</v>
      </c>
      <c r="B27" s="16" t="s">
        <v>54</v>
      </c>
      <c r="C27" s="74">
        <f>'Revenue Model'!K28</f>
        <v>0.05</v>
      </c>
      <c r="D27" s="16" t="s">
        <v>54</v>
      </c>
      <c r="E27" s="16" t="s">
        <v>54</v>
      </c>
      <c r="F27" s="16" t="s">
        <v>54</v>
      </c>
      <c r="G27" s="16" t="s">
        <v>631</v>
      </c>
      <c r="H27" s="16" t="s">
        <v>654</v>
      </c>
    </row>
    <row r="28" ht="36.0" customHeight="1">
      <c r="A28" s="16" t="s">
        <v>656</v>
      </c>
      <c r="B28" s="16" t="s">
        <v>54</v>
      </c>
      <c r="C28" s="74">
        <f>'Revenue Model'!B17</f>
        <v>0.05</v>
      </c>
      <c r="D28" s="16" t="s">
        <v>54</v>
      </c>
      <c r="E28" s="16" t="s">
        <v>54</v>
      </c>
      <c r="F28" s="16" t="s">
        <v>54</v>
      </c>
      <c r="G28" s="16" t="s">
        <v>637</v>
      </c>
      <c r="H28" s="16" t="s">
        <v>664</v>
      </c>
    </row>
    <row r="29" ht="36.0" customHeight="1">
      <c r="A29" s="16" t="s">
        <v>667</v>
      </c>
      <c r="B29" s="16" t="s">
        <v>54</v>
      </c>
      <c r="C29" s="28">
        <v>7.0</v>
      </c>
      <c r="D29" s="16" t="s">
        <v>54</v>
      </c>
      <c r="E29" s="16" t="s">
        <v>54</v>
      </c>
      <c r="F29" s="16" t="s">
        <v>54</v>
      </c>
      <c r="G29" s="16" t="s">
        <v>670</v>
      </c>
      <c r="H29" s="16" t="s">
        <v>673</v>
      </c>
    </row>
    <row r="30" ht="36.0" customHeight="1">
      <c r="A30" s="16" t="s">
        <v>675</v>
      </c>
      <c r="B30" s="16" t="s">
        <v>54</v>
      </c>
      <c r="C30" s="24">
        <f>'Revenue Timing'!B8</f>
        <v>0</v>
      </c>
      <c r="D30" s="16" t="s">
        <v>54</v>
      </c>
      <c r="E30" s="16" t="s">
        <v>54</v>
      </c>
      <c r="F30" s="16" t="s">
        <v>54</v>
      </c>
      <c r="G30" s="16" t="s">
        <v>686</v>
      </c>
      <c r="H30" s="16" t="s">
        <v>687</v>
      </c>
    </row>
    <row r="31" ht="36.0" customHeight="1">
      <c r="A31" s="16" t="s">
        <v>54</v>
      </c>
      <c r="B31" s="16" t="s">
        <v>54</v>
      </c>
      <c r="C31" s="16" t="s">
        <v>54</v>
      </c>
      <c r="D31" s="16" t="s">
        <v>54</v>
      </c>
      <c r="E31" s="16" t="s">
        <v>54</v>
      </c>
      <c r="F31" s="16" t="s">
        <v>54</v>
      </c>
      <c r="G31" s="16" t="s">
        <v>54</v>
      </c>
      <c r="H31" s="16" t="s">
        <v>54</v>
      </c>
    </row>
    <row r="32" ht="36.0" customHeight="1">
      <c r="A32" s="15" t="s">
        <v>692</v>
      </c>
      <c r="B32" s="15" t="s">
        <v>54</v>
      </c>
      <c r="C32" s="15" t="s">
        <v>694</v>
      </c>
      <c r="D32" s="15" t="s">
        <v>695</v>
      </c>
      <c r="E32" s="15" t="s">
        <v>502</v>
      </c>
      <c r="F32" s="15" t="s">
        <v>698</v>
      </c>
      <c r="G32" s="15" t="s">
        <v>699</v>
      </c>
      <c r="H32" s="15" t="s">
        <v>700</v>
      </c>
    </row>
    <row r="33" ht="36.0" customHeight="1">
      <c r="A33" s="16" t="s">
        <v>701</v>
      </c>
      <c r="B33" s="16" t="s">
        <v>54</v>
      </c>
      <c r="C33" s="74">
        <f t="shared" ref="C33:C47" si="2">INDEX(D33:F33,1,MATCH($C$3,$D$32:$F$32,0))</f>
        <v>0.35</v>
      </c>
      <c r="D33" s="77">
        <v>0.25</v>
      </c>
      <c r="E33" s="77">
        <v>0.35</v>
      </c>
      <c r="F33" s="77">
        <v>0.45</v>
      </c>
      <c r="G33" s="16" t="s">
        <v>716</v>
      </c>
      <c r="H33" s="16" t="s">
        <v>717</v>
      </c>
    </row>
    <row r="34" ht="36.0" customHeight="1">
      <c r="A34" s="16" t="s">
        <v>718</v>
      </c>
      <c r="B34" s="16" t="s">
        <v>54</v>
      </c>
      <c r="C34" s="78">
        <f t="shared" si="2"/>
        <v>1.5</v>
      </c>
      <c r="D34" s="80">
        <v>1.5</v>
      </c>
      <c r="E34" s="80">
        <v>1.5</v>
      </c>
      <c r="F34" s="80">
        <v>1.5</v>
      </c>
      <c r="G34" s="16" t="s">
        <v>716</v>
      </c>
      <c r="H34" s="16" t="s">
        <v>723</v>
      </c>
    </row>
    <row r="35" ht="36.0" customHeight="1">
      <c r="A35" s="16" t="s">
        <v>724</v>
      </c>
      <c r="B35" s="16" t="s">
        <v>54</v>
      </c>
      <c r="C35" s="74">
        <f t="shared" si="2"/>
        <v>0.01</v>
      </c>
      <c r="D35" s="77">
        <v>0.005</v>
      </c>
      <c r="E35" s="77">
        <v>0.01</v>
      </c>
      <c r="F35" s="77">
        <v>0.02</v>
      </c>
      <c r="G35" s="16" t="s">
        <v>716</v>
      </c>
      <c r="H35" s="16" t="s">
        <v>727</v>
      </c>
    </row>
    <row r="36" ht="36.0" customHeight="1">
      <c r="A36" s="16" t="s">
        <v>728</v>
      </c>
      <c r="B36" s="16" t="s">
        <v>54</v>
      </c>
      <c r="C36" s="36">
        <f t="shared" si="2"/>
        <v>100000</v>
      </c>
      <c r="D36" s="81">
        <v>75000.0</v>
      </c>
      <c r="E36" s="81">
        <v>100000.0</v>
      </c>
      <c r="F36" s="81">
        <v>150000.0</v>
      </c>
      <c r="G36" s="16" t="s">
        <v>716</v>
      </c>
      <c r="H36" s="16" t="s">
        <v>739</v>
      </c>
    </row>
    <row r="37" ht="36.0" customHeight="1">
      <c r="A37" s="16" t="s">
        <v>742</v>
      </c>
      <c r="B37" s="16" t="s">
        <v>54</v>
      </c>
      <c r="C37" s="74">
        <f t="shared" si="2"/>
        <v>0.75</v>
      </c>
      <c r="D37" s="77">
        <v>0.5</v>
      </c>
      <c r="E37" s="77">
        <v>0.75</v>
      </c>
      <c r="F37" s="77">
        <v>1.0</v>
      </c>
      <c r="G37" s="16" t="s">
        <v>716</v>
      </c>
      <c r="H37" s="16" t="s">
        <v>750</v>
      </c>
    </row>
    <row r="38" ht="36.0" customHeight="1">
      <c r="A38" s="16" t="s">
        <v>752</v>
      </c>
      <c r="B38" s="16" t="s">
        <v>54</v>
      </c>
      <c r="C38" s="74">
        <f t="shared" si="2"/>
        <v>0.6</v>
      </c>
      <c r="D38" s="77">
        <v>0.4</v>
      </c>
      <c r="E38" s="77">
        <v>0.6</v>
      </c>
      <c r="F38" s="77">
        <v>0.8</v>
      </c>
      <c r="G38" s="16" t="s">
        <v>716</v>
      </c>
      <c r="H38" s="16" t="s">
        <v>760</v>
      </c>
    </row>
    <row r="39" ht="36.0" customHeight="1">
      <c r="A39" s="16" t="s">
        <v>762</v>
      </c>
      <c r="B39" s="16" t="s">
        <v>54</v>
      </c>
      <c r="C39" s="74">
        <f t="shared" si="2"/>
        <v>0.6</v>
      </c>
      <c r="D39" s="77">
        <v>0.4</v>
      </c>
      <c r="E39" s="77">
        <v>0.6</v>
      </c>
      <c r="F39" s="77">
        <v>0.8</v>
      </c>
      <c r="G39" s="16" t="s">
        <v>716</v>
      </c>
      <c r="H39" s="16" t="s">
        <v>766</v>
      </c>
    </row>
    <row r="40" ht="36.0" customHeight="1">
      <c r="A40" s="16" t="s">
        <v>768</v>
      </c>
      <c r="B40" s="16" t="s">
        <v>54</v>
      </c>
      <c r="C40" s="74">
        <f t="shared" si="2"/>
        <v>0.6</v>
      </c>
      <c r="D40" s="77">
        <v>0.4</v>
      </c>
      <c r="E40" s="77">
        <v>0.6</v>
      </c>
      <c r="F40" s="77">
        <v>0.7</v>
      </c>
      <c r="G40" s="16" t="s">
        <v>716</v>
      </c>
      <c r="H40" s="16" t="s">
        <v>776</v>
      </c>
    </row>
    <row r="41" ht="36.0" customHeight="1">
      <c r="A41" s="16" t="s">
        <v>778</v>
      </c>
      <c r="B41" s="16" t="s">
        <v>54</v>
      </c>
      <c r="C41" s="78">
        <f t="shared" si="2"/>
        <v>1.5</v>
      </c>
      <c r="D41" s="80">
        <v>1.5</v>
      </c>
      <c r="E41" s="80">
        <v>1.5</v>
      </c>
      <c r="F41" s="80">
        <v>1.5</v>
      </c>
      <c r="G41" s="16" t="s">
        <v>716</v>
      </c>
      <c r="H41" s="16" t="s">
        <v>783</v>
      </c>
    </row>
    <row r="42" ht="36.0" customHeight="1">
      <c r="A42" s="16" t="s">
        <v>784</v>
      </c>
      <c r="B42" s="16" t="s">
        <v>54</v>
      </c>
      <c r="C42" s="74">
        <f t="shared" si="2"/>
        <v>0.01</v>
      </c>
      <c r="D42" s="77">
        <v>0.005</v>
      </c>
      <c r="E42" s="77">
        <v>0.01</v>
      </c>
      <c r="F42" s="77">
        <v>0.02</v>
      </c>
      <c r="G42" s="16" t="s">
        <v>716</v>
      </c>
      <c r="H42" s="16" t="s">
        <v>785</v>
      </c>
    </row>
    <row r="43" ht="36.0" customHeight="1">
      <c r="A43" s="16" t="s">
        <v>786</v>
      </c>
      <c r="B43" s="16" t="s">
        <v>54</v>
      </c>
      <c r="C43" s="74">
        <f t="shared" si="2"/>
        <v>0.7</v>
      </c>
      <c r="D43" s="77">
        <v>0.5</v>
      </c>
      <c r="E43" s="77">
        <v>0.7</v>
      </c>
      <c r="F43" s="77">
        <v>0.9</v>
      </c>
      <c r="G43" s="16" t="s">
        <v>716</v>
      </c>
      <c r="H43" s="16" t="s">
        <v>787</v>
      </c>
    </row>
    <row r="44" ht="36.0" customHeight="1">
      <c r="A44" s="16" t="s">
        <v>788</v>
      </c>
      <c r="B44" s="16" t="s">
        <v>54</v>
      </c>
      <c r="C44" s="36">
        <f t="shared" si="2"/>
        <v>150000</v>
      </c>
      <c r="D44" s="81">
        <v>100000.0</v>
      </c>
      <c r="E44" s="81">
        <v>150000.0</v>
      </c>
      <c r="F44" s="81">
        <v>150000.0</v>
      </c>
      <c r="G44" s="16" t="s">
        <v>716</v>
      </c>
      <c r="H44" s="16" t="s">
        <v>789</v>
      </c>
    </row>
    <row r="45" ht="36.0" customHeight="1">
      <c r="A45" s="16" t="s">
        <v>790</v>
      </c>
      <c r="B45" s="16" t="s">
        <v>54</v>
      </c>
      <c r="C45" s="74">
        <f t="shared" si="2"/>
        <v>0.75</v>
      </c>
      <c r="D45" s="77">
        <v>0.5</v>
      </c>
      <c r="E45" s="77">
        <v>0.75</v>
      </c>
      <c r="F45" s="77">
        <v>1.0</v>
      </c>
      <c r="G45" s="16" t="s">
        <v>716</v>
      </c>
      <c r="H45" s="16" t="s">
        <v>791</v>
      </c>
    </row>
    <row r="46" ht="36.0" customHeight="1">
      <c r="A46" s="16" t="s">
        <v>792</v>
      </c>
      <c r="B46" s="16" t="s">
        <v>54</v>
      </c>
      <c r="C46" s="74">
        <f t="shared" si="2"/>
        <v>0.6</v>
      </c>
      <c r="D46" s="77">
        <v>0.4</v>
      </c>
      <c r="E46" s="77">
        <v>0.6</v>
      </c>
      <c r="F46" s="77">
        <v>0.8</v>
      </c>
      <c r="G46" s="16" t="s">
        <v>716</v>
      </c>
      <c r="H46" s="16" t="s">
        <v>793</v>
      </c>
    </row>
    <row r="47" ht="36.0" customHeight="1">
      <c r="A47" s="16" t="s">
        <v>794</v>
      </c>
      <c r="B47" s="16" t="s">
        <v>54</v>
      </c>
      <c r="C47" s="74">
        <f t="shared" si="2"/>
        <v>0.6</v>
      </c>
      <c r="D47" s="77">
        <v>0.4</v>
      </c>
      <c r="E47" s="77">
        <v>0.6</v>
      </c>
      <c r="F47" s="77">
        <v>0.8</v>
      </c>
      <c r="G47" s="16" t="s">
        <v>716</v>
      </c>
      <c r="H47" s="16" t="s">
        <v>795</v>
      </c>
    </row>
    <row r="48" ht="36.0" customHeight="1">
      <c r="A48" s="16" t="s">
        <v>54</v>
      </c>
      <c r="B48" s="16" t="s">
        <v>54</v>
      </c>
      <c r="C48" s="16" t="s">
        <v>54</v>
      </c>
      <c r="D48" s="16" t="s">
        <v>54</v>
      </c>
      <c r="E48" s="16" t="s">
        <v>54</v>
      </c>
      <c r="F48" s="16" t="s">
        <v>54</v>
      </c>
      <c r="G48" s="16" t="s">
        <v>54</v>
      </c>
      <c r="H48" s="16" t="s">
        <v>54</v>
      </c>
    </row>
    <row r="49" ht="36.0" customHeight="1">
      <c r="A49" s="16" t="s">
        <v>797</v>
      </c>
    </row>
    <row r="50" ht="36.0" customHeight="1">
      <c r="A50" s="16" t="s">
        <v>799</v>
      </c>
    </row>
    <row r="51" ht="36.0" customHeight="1">
      <c r="A51" s="16" t="s">
        <v>801</v>
      </c>
    </row>
    <row r="52" ht="36.0" customHeight="1">
      <c r="A52" s="16" t="s">
        <v>54</v>
      </c>
      <c r="B52" s="16" t="s">
        <v>54</v>
      </c>
      <c r="C52" s="16" t="s">
        <v>54</v>
      </c>
      <c r="D52" s="16" t="s">
        <v>54</v>
      </c>
      <c r="E52" s="16" t="s">
        <v>54</v>
      </c>
      <c r="F52" s="16" t="s">
        <v>54</v>
      </c>
      <c r="G52" s="16" t="s">
        <v>54</v>
      </c>
      <c r="H52" s="16" t="s">
        <v>54</v>
      </c>
    </row>
    <row r="53" ht="36.0" customHeight="1">
      <c r="A53" s="15" t="s">
        <v>802</v>
      </c>
    </row>
    <row r="54" ht="36.0" customHeight="1">
      <c r="A54" s="16" t="s">
        <v>54</v>
      </c>
      <c r="B54" s="16" t="s">
        <v>54</v>
      </c>
      <c r="C54" s="16" t="s">
        <v>54</v>
      </c>
      <c r="D54" s="16" t="s">
        <v>54</v>
      </c>
      <c r="E54" s="16" t="s">
        <v>54</v>
      </c>
      <c r="F54" s="16" t="s">
        <v>54</v>
      </c>
      <c r="G54" s="16" t="s">
        <v>54</v>
      </c>
      <c r="H54" s="16" t="s">
        <v>54</v>
      </c>
    </row>
    <row r="55" ht="36.0" customHeight="1">
      <c r="A55" s="16" t="s">
        <v>809</v>
      </c>
      <c r="B55" s="16" t="s">
        <v>54</v>
      </c>
      <c r="C55" s="28">
        <f>C15</f>
        <v>31000000</v>
      </c>
      <c r="D55" s="16" t="s">
        <v>54</v>
      </c>
      <c r="E55" s="16" t="s">
        <v>54</v>
      </c>
      <c r="F55" s="16" t="s">
        <v>54</v>
      </c>
      <c r="G55" s="16" t="s">
        <v>54</v>
      </c>
      <c r="H55" s="16" t="s">
        <v>54</v>
      </c>
    </row>
    <row r="56" ht="36.0" customHeight="1">
      <c r="A56" s="16" t="s">
        <v>812</v>
      </c>
      <c r="B56" s="16" t="s">
        <v>54</v>
      </c>
      <c r="C56" s="28">
        <f>C55*C33</f>
        <v>10850000</v>
      </c>
      <c r="D56" s="16" t="s">
        <v>54</v>
      </c>
      <c r="E56" s="16" t="s">
        <v>54</v>
      </c>
      <c r="F56" s="16" t="s">
        <v>54</v>
      </c>
      <c r="G56" s="16" t="s">
        <v>54</v>
      </c>
      <c r="H56" s="16" t="s">
        <v>54</v>
      </c>
    </row>
    <row r="57" ht="36.0" customHeight="1">
      <c r="A57" s="16" t="s">
        <v>813</v>
      </c>
      <c r="B57" s="16" t="s">
        <v>54</v>
      </c>
      <c r="C57" s="28">
        <f>C56/C34</f>
        <v>7233333.333</v>
      </c>
      <c r="D57" s="16" t="s">
        <v>54</v>
      </c>
      <c r="E57" s="16" t="s">
        <v>54</v>
      </c>
      <c r="F57" s="16" t="s">
        <v>54</v>
      </c>
      <c r="G57" s="16" t="s">
        <v>54</v>
      </c>
      <c r="H57" s="16" t="s">
        <v>54</v>
      </c>
    </row>
    <row r="58" ht="36.0" customHeight="1">
      <c r="A58" s="16" t="s">
        <v>814</v>
      </c>
      <c r="B58" s="16" t="s">
        <v>54</v>
      </c>
      <c r="C58" s="74">
        <f>C35</f>
        <v>0.01</v>
      </c>
      <c r="D58" s="16" t="s">
        <v>54</v>
      </c>
      <c r="E58" s="16" t="s">
        <v>54</v>
      </c>
      <c r="F58" s="16" t="s">
        <v>54</v>
      </c>
      <c r="G58" s="16" t="s">
        <v>54</v>
      </c>
      <c r="H58" s="16" t="s">
        <v>54</v>
      </c>
    </row>
    <row r="59" ht="36.0" customHeight="1">
      <c r="A59" s="16" t="s">
        <v>815</v>
      </c>
      <c r="B59" s="16" t="s">
        <v>54</v>
      </c>
      <c r="C59" s="28">
        <f>C57*C58</f>
        <v>72333.33333</v>
      </c>
      <c r="D59" s="16" t="s">
        <v>54</v>
      </c>
      <c r="E59" s="16" t="s">
        <v>54</v>
      </c>
      <c r="F59" s="16" t="s">
        <v>54</v>
      </c>
      <c r="G59" s="16" t="s">
        <v>54</v>
      </c>
      <c r="H59" s="16" t="s">
        <v>54</v>
      </c>
    </row>
    <row r="60" ht="36.0" customHeight="1">
      <c r="A60" s="16" t="s">
        <v>816</v>
      </c>
      <c r="B60" s="16" t="s">
        <v>54</v>
      </c>
      <c r="C60" s="24">
        <f>C36</f>
        <v>100000</v>
      </c>
      <c r="D60" s="16" t="s">
        <v>54</v>
      </c>
      <c r="E60" s="16" t="s">
        <v>54</v>
      </c>
      <c r="F60" s="16" t="s">
        <v>54</v>
      </c>
      <c r="G60" s="16" t="s">
        <v>54</v>
      </c>
      <c r="H60" s="16" t="s">
        <v>54</v>
      </c>
    </row>
    <row r="61" ht="36.0" customHeight="1">
      <c r="A61" s="16" t="s">
        <v>817</v>
      </c>
      <c r="B61" s="16" t="s">
        <v>54</v>
      </c>
      <c r="C61" s="24">
        <f>C60*C25*C37</f>
        <v>1125</v>
      </c>
      <c r="D61" s="16" t="s">
        <v>54</v>
      </c>
      <c r="E61" s="16" t="s">
        <v>54</v>
      </c>
      <c r="F61" s="16" t="s">
        <v>54</v>
      </c>
      <c r="G61" s="16" t="s">
        <v>54</v>
      </c>
      <c r="H61" s="16" t="s">
        <v>54</v>
      </c>
    </row>
    <row r="62" ht="36.0" customHeight="1">
      <c r="A62" s="16" t="s">
        <v>818</v>
      </c>
      <c r="B62" s="16" t="s">
        <v>54</v>
      </c>
      <c r="C62" s="24">
        <f>C26*C38</f>
        <v>25.5</v>
      </c>
      <c r="D62" s="16" t="s">
        <v>54</v>
      </c>
      <c r="E62" s="16" t="s">
        <v>54</v>
      </c>
      <c r="F62" s="16" t="s">
        <v>54</v>
      </c>
      <c r="G62" s="16" t="s">
        <v>54</v>
      </c>
      <c r="H62" s="16" t="s">
        <v>54</v>
      </c>
    </row>
    <row r="63" ht="36.0" customHeight="1">
      <c r="A63" s="16" t="s">
        <v>819</v>
      </c>
      <c r="B63" s="16" t="s">
        <v>54</v>
      </c>
      <c r="C63" s="24">
        <f>MAX(0,C60*C27*C28-C30)</f>
        <v>250</v>
      </c>
      <c r="D63" s="16" t="s">
        <v>54</v>
      </c>
      <c r="E63" s="16" t="s">
        <v>54</v>
      </c>
      <c r="F63" s="16" t="s">
        <v>54</v>
      </c>
      <c r="G63" s="16" t="s">
        <v>54</v>
      </c>
      <c r="H63" s="16" t="s">
        <v>54</v>
      </c>
    </row>
    <row r="64" ht="36.0" customHeight="1">
      <c r="A64" s="16" t="s">
        <v>820</v>
      </c>
      <c r="B64" s="16" t="s">
        <v>54</v>
      </c>
      <c r="C64" s="24">
        <f>C63*C39</f>
        <v>150</v>
      </c>
      <c r="D64" s="16" t="s">
        <v>54</v>
      </c>
      <c r="E64" s="16" t="s">
        <v>54</v>
      </c>
      <c r="F64" s="16" t="s">
        <v>54</v>
      </c>
      <c r="G64" s="16" t="s">
        <v>54</v>
      </c>
      <c r="H64" s="16" t="s">
        <v>54</v>
      </c>
    </row>
    <row r="65" ht="36.0" customHeight="1">
      <c r="A65" s="16" t="s">
        <v>821</v>
      </c>
      <c r="B65" s="16" t="s">
        <v>54</v>
      </c>
      <c r="C65" s="24">
        <f>SUM(C61:C62)+C64</f>
        <v>1300.5</v>
      </c>
      <c r="D65" s="16" t="s">
        <v>54</v>
      </c>
      <c r="E65" s="16" t="s">
        <v>54</v>
      </c>
      <c r="F65" s="16" t="s">
        <v>54</v>
      </c>
      <c r="G65" s="16" t="s">
        <v>54</v>
      </c>
      <c r="H65" s="16" t="s">
        <v>54</v>
      </c>
    </row>
    <row r="66" ht="36.0" customHeight="1">
      <c r="A66" s="16" t="s">
        <v>822</v>
      </c>
      <c r="B66" s="16" t="s">
        <v>54</v>
      </c>
      <c r="C66" s="65">
        <f>C59*C65</f>
        <v>94069500</v>
      </c>
      <c r="D66" s="16" t="s">
        <v>54</v>
      </c>
      <c r="E66" s="16" t="s">
        <v>54</v>
      </c>
      <c r="F66" s="16" t="s">
        <v>54</v>
      </c>
      <c r="G66" s="16" t="s">
        <v>54</v>
      </c>
      <c r="H66" s="16" t="s">
        <v>54</v>
      </c>
    </row>
    <row r="67" ht="36.0" customHeight="1">
      <c r="A67" s="16" t="s">
        <v>823</v>
      </c>
      <c r="B67" s="16" t="s">
        <v>54</v>
      </c>
      <c r="C67" s="24">
        <f>C59*C60</f>
        <v>7233333333</v>
      </c>
      <c r="D67" s="16" t="s">
        <v>54</v>
      </c>
      <c r="E67" s="16" t="s">
        <v>54</v>
      </c>
      <c r="F67" s="16" t="s">
        <v>54</v>
      </c>
      <c r="G67" s="16" t="s">
        <v>54</v>
      </c>
      <c r="H67" s="16" t="s">
        <v>54</v>
      </c>
    </row>
    <row r="68" ht="36.0" customHeight="1">
      <c r="A68" s="16" t="s">
        <v>824</v>
      </c>
      <c r="B68" s="16" t="s">
        <v>54</v>
      </c>
      <c r="C68" s="74">
        <f>C67/C22</f>
        <v>0.1264118108</v>
      </c>
      <c r="D68" s="16" t="s">
        <v>54</v>
      </c>
      <c r="E68" s="16" t="s">
        <v>54</v>
      </c>
      <c r="F68" s="16" t="s">
        <v>54</v>
      </c>
      <c r="G68" s="16" t="s">
        <v>54</v>
      </c>
      <c r="H68" s="16" t="s">
        <v>54</v>
      </c>
    </row>
    <row r="69" ht="36.0" customHeight="1">
      <c r="A69" s="16" t="s">
        <v>825</v>
      </c>
      <c r="B69" s="16" t="s">
        <v>54</v>
      </c>
      <c r="C69" s="83">
        <f>ROUND(C66-C59*(C61+C62+C64),6)</f>
        <v>0</v>
      </c>
      <c r="D69" s="16" t="s">
        <v>54</v>
      </c>
      <c r="E69" s="16" t="s">
        <v>54</v>
      </c>
      <c r="F69" s="16" t="s">
        <v>54</v>
      </c>
      <c r="G69" s="16" t="s">
        <v>54</v>
      </c>
      <c r="H69" s="16" t="s">
        <v>54</v>
      </c>
    </row>
    <row r="70" ht="36.0" customHeight="1">
      <c r="A70" s="16" t="s">
        <v>54</v>
      </c>
      <c r="B70" s="16" t="s">
        <v>54</v>
      </c>
      <c r="C70" s="83" t="s">
        <v>54</v>
      </c>
      <c r="D70" s="16" t="s">
        <v>54</v>
      </c>
      <c r="E70" s="16" t="s">
        <v>54</v>
      </c>
      <c r="F70" s="16" t="s">
        <v>54</v>
      </c>
      <c r="G70" s="16" t="s">
        <v>54</v>
      </c>
      <c r="H70" s="16" t="s">
        <v>54</v>
      </c>
    </row>
    <row r="71" ht="36.0" customHeight="1">
      <c r="A71" s="16" t="s">
        <v>54</v>
      </c>
      <c r="B71" s="16" t="s">
        <v>54</v>
      </c>
      <c r="C71" s="83" t="s">
        <v>54</v>
      </c>
      <c r="D71" s="16" t="s">
        <v>54</v>
      </c>
      <c r="E71" s="16" t="s">
        <v>54</v>
      </c>
      <c r="F71" s="16" t="s">
        <v>54</v>
      </c>
      <c r="G71" s="16" t="s">
        <v>54</v>
      </c>
      <c r="H71" s="16" t="s">
        <v>54</v>
      </c>
    </row>
    <row r="72" ht="36.0" customHeight="1">
      <c r="A72" s="15" t="s">
        <v>826</v>
      </c>
    </row>
    <row r="73" ht="36.0" customHeight="1">
      <c r="A73" s="16" t="s">
        <v>827</v>
      </c>
      <c r="B73" s="16" t="s">
        <v>54</v>
      </c>
      <c r="C73" s="28">
        <f>C21*C40</f>
        <v>155496</v>
      </c>
      <c r="D73" s="16" t="s">
        <v>54</v>
      </c>
      <c r="E73" s="16" t="s">
        <v>54</v>
      </c>
      <c r="F73" s="16" t="s">
        <v>54</v>
      </c>
      <c r="G73" s="16" t="s">
        <v>54</v>
      </c>
      <c r="H73" s="16" t="s">
        <v>54</v>
      </c>
    </row>
    <row r="74" ht="36.0" customHeight="1">
      <c r="A74" s="16" t="s">
        <v>813</v>
      </c>
      <c r="B74" s="16" t="s">
        <v>54</v>
      </c>
      <c r="C74" s="28">
        <f>C73/C41</f>
        <v>103664</v>
      </c>
      <c r="D74" s="16" t="s">
        <v>54</v>
      </c>
      <c r="E74" s="16" t="s">
        <v>54</v>
      </c>
      <c r="F74" s="16" t="s">
        <v>54</v>
      </c>
      <c r="G74" s="16" t="s">
        <v>54</v>
      </c>
      <c r="H74" s="16" t="s">
        <v>54</v>
      </c>
    </row>
    <row r="75" ht="36.0" customHeight="1">
      <c r="A75" s="16" t="s">
        <v>828</v>
      </c>
      <c r="B75" s="16" t="s">
        <v>54</v>
      </c>
      <c r="C75" s="28">
        <f>C74*C42</f>
        <v>1036.64</v>
      </c>
      <c r="D75" s="16" t="s">
        <v>54</v>
      </c>
      <c r="E75" s="16" t="s">
        <v>54</v>
      </c>
      <c r="F75" s="16" t="s">
        <v>54</v>
      </c>
      <c r="G75" s="16" t="s">
        <v>54</v>
      </c>
      <c r="H75" s="16" t="s">
        <v>54</v>
      </c>
    </row>
    <row r="76" ht="36.0" customHeight="1">
      <c r="A76" s="16" t="s">
        <v>829</v>
      </c>
      <c r="B76" s="16" t="s">
        <v>54</v>
      </c>
      <c r="C76" s="74">
        <f>C43</f>
        <v>0.7</v>
      </c>
      <c r="D76" s="16" t="s">
        <v>54</v>
      </c>
      <c r="E76" s="16" t="s">
        <v>54</v>
      </c>
      <c r="F76" s="16" t="s">
        <v>54</v>
      </c>
      <c r="G76" s="16" t="s">
        <v>54</v>
      </c>
      <c r="H76" s="16" t="s">
        <v>54</v>
      </c>
    </row>
    <row r="77" ht="36.0" customHeight="1">
      <c r="A77" s="16" t="s">
        <v>830</v>
      </c>
      <c r="B77" s="16" t="s">
        <v>54</v>
      </c>
      <c r="C77" s="28">
        <f>C75*C76</f>
        <v>725.648</v>
      </c>
      <c r="D77" s="16" t="s">
        <v>54</v>
      </c>
      <c r="E77" s="16" t="s">
        <v>54</v>
      </c>
      <c r="F77" s="16" t="s">
        <v>54</v>
      </c>
      <c r="G77" s="16" t="s">
        <v>54</v>
      </c>
      <c r="H77" s="16" t="s">
        <v>54</v>
      </c>
    </row>
    <row r="78" ht="36.0" customHeight="1">
      <c r="A78" s="16" t="s">
        <v>817</v>
      </c>
      <c r="B78" s="16" t="s">
        <v>54</v>
      </c>
      <c r="C78" s="24">
        <f>C44*C25*C45</f>
        <v>1687.5</v>
      </c>
      <c r="D78" s="16" t="s">
        <v>54</v>
      </c>
      <c r="E78" s="16" t="s">
        <v>54</v>
      </c>
      <c r="F78" s="16" t="s">
        <v>54</v>
      </c>
      <c r="G78" s="16" t="s">
        <v>54</v>
      </c>
      <c r="H78" s="16" t="s">
        <v>54</v>
      </c>
    </row>
    <row r="79" ht="36.0" customHeight="1">
      <c r="A79" s="16" t="s">
        <v>818</v>
      </c>
      <c r="B79" s="16" t="s">
        <v>54</v>
      </c>
      <c r="C79" s="24">
        <f>C26*C46</f>
        <v>25.5</v>
      </c>
      <c r="D79" s="16" t="s">
        <v>54</v>
      </c>
      <c r="E79" s="16" t="s">
        <v>54</v>
      </c>
      <c r="F79" s="16" t="s">
        <v>54</v>
      </c>
      <c r="G79" s="16" t="s">
        <v>54</v>
      </c>
      <c r="H79" s="16" t="s">
        <v>54</v>
      </c>
    </row>
    <row r="80" ht="36.0" customHeight="1">
      <c r="A80" s="16" t="s">
        <v>820</v>
      </c>
      <c r="B80" s="16" t="s">
        <v>54</v>
      </c>
      <c r="C80" s="24">
        <f>MAX(0,C44*C27*C28-C30)*C47</f>
        <v>225</v>
      </c>
      <c r="D80" s="16" t="s">
        <v>54</v>
      </c>
      <c r="E80" s="16" t="s">
        <v>54</v>
      </c>
      <c r="F80" s="16" t="s">
        <v>54</v>
      </c>
      <c r="G80" s="16" t="s">
        <v>54</v>
      </c>
      <c r="H80" s="16" t="s">
        <v>54</v>
      </c>
    </row>
    <row r="81" ht="36.0" customHeight="1">
      <c r="A81" s="16" t="s">
        <v>821</v>
      </c>
      <c r="B81" s="16" t="s">
        <v>54</v>
      </c>
      <c r="C81" s="24">
        <f>SUM(C78:C80)</f>
        <v>1938</v>
      </c>
      <c r="D81" s="16" t="s">
        <v>54</v>
      </c>
      <c r="E81" s="16" t="s">
        <v>54</v>
      </c>
      <c r="F81" s="16" t="s">
        <v>54</v>
      </c>
      <c r="G81" s="16" t="s">
        <v>54</v>
      </c>
      <c r="H81" s="16" t="s">
        <v>54</v>
      </c>
    </row>
    <row r="82" ht="36.0" customHeight="1">
      <c r="A82" s="16" t="s">
        <v>831</v>
      </c>
      <c r="B82" s="16" t="s">
        <v>54</v>
      </c>
      <c r="C82" s="65">
        <f>C77*C81</f>
        <v>1406305.824</v>
      </c>
      <c r="D82" s="16" t="s">
        <v>54</v>
      </c>
      <c r="E82" s="16" t="s">
        <v>54</v>
      </c>
      <c r="F82" s="16" t="s">
        <v>54</v>
      </c>
      <c r="G82" s="16" t="s">
        <v>54</v>
      </c>
      <c r="H82" s="16" t="s">
        <v>54</v>
      </c>
    </row>
    <row r="83" ht="36.0" customHeight="1">
      <c r="A83" s="16" t="s">
        <v>832</v>
      </c>
      <c r="B83" s="16" t="s">
        <v>54</v>
      </c>
      <c r="C83" s="24">
        <f>C77*C44</f>
        <v>108847200</v>
      </c>
      <c r="D83" s="16" t="s">
        <v>54</v>
      </c>
      <c r="E83" s="16" t="s">
        <v>54</v>
      </c>
      <c r="F83" s="16" t="s">
        <v>54</v>
      </c>
      <c r="G83" s="16" t="s">
        <v>54</v>
      </c>
      <c r="H83" s="16" t="s">
        <v>54</v>
      </c>
    </row>
    <row r="84" ht="36.0" customHeight="1">
      <c r="A84" s="16" t="s">
        <v>833</v>
      </c>
      <c r="B84" s="16" t="s">
        <v>54</v>
      </c>
      <c r="C84" s="74">
        <f>C83/C23</f>
        <v>0.1577145936</v>
      </c>
      <c r="D84" s="16" t="s">
        <v>54</v>
      </c>
      <c r="E84" s="16" t="s">
        <v>54</v>
      </c>
      <c r="F84" s="16" t="s">
        <v>54</v>
      </c>
      <c r="G84" s="16" t="s">
        <v>54</v>
      </c>
      <c r="H84" s="16" t="s">
        <v>54</v>
      </c>
    </row>
    <row r="85" ht="36.0" customHeight="1">
      <c r="A85" s="16" t="s">
        <v>825</v>
      </c>
      <c r="B85" s="16" t="s">
        <v>54</v>
      </c>
      <c r="C85" s="83">
        <f>ROUND(C82-C77*(C78+C79+C80),6)</f>
        <v>0</v>
      </c>
      <c r="D85" s="16" t="s">
        <v>54</v>
      </c>
      <c r="E85" s="16" t="s">
        <v>54</v>
      </c>
      <c r="F85" s="16" t="s">
        <v>54</v>
      </c>
      <c r="G85" s="16" t="s">
        <v>54</v>
      </c>
      <c r="H85" s="16" t="s">
        <v>54</v>
      </c>
    </row>
    <row r="86" ht="36.0" customHeight="1">
      <c r="A86" s="16" t="s">
        <v>54</v>
      </c>
      <c r="B86" s="16" t="s">
        <v>54</v>
      </c>
      <c r="C86" s="83" t="s">
        <v>54</v>
      </c>
      <c r="D86" s="16" t="s">
        <v>54</v>
      </c>
      <c r="E86" s="16" t="s">
        <v>54</v>
      </c>
      <c r="F86" s="16" t="s">
        <v>54</v>
      </c>
      <c r="G86" s="16" t="s">
        <v>54</v>
      </c>
      <c r="H86" s="16" t="s">
        <v>54</v>
      </c>
    </row>
    <row r="87" ht="36.0" customHeight="1">
      <c r="A87" s="15" t="s">
        <v>834</v>
      </c>
    </row>
    <row r="88" ht="36.0" customHeight="1">
      <c r="A88" s="16" t="s">
        <v>54</v>
      </c>
      <c r="B88" s="16" t="s">
        <v>54</v>
      </c>
      <c r="C88" s="83" t="s">
        <v>54</v>
      </c>
      <c r="D88" s="16" t="s">
        <v>54</v>
      </c>
      <c r="E88" s="16" t="s">
        <v>54</v>
      </c>
      <c r="F88" s="16" t="s">
        <v>54</v>
      </c>
      <c r="G88" s="16" t="s">
        <v>54</v>
      </c>
      <c r="H88" s="16" t="s">
        <v>54</v>
      </c>
    </row>
    <row r="89" ht="36.0" customHeight="1">
      <c r="A89" s="16" t="s">
        <v>835</v>
      </c>
      <c r="B89" s="16" t="s">
        <v>54</v>
      </c>
      <c r="C89" s="28">
        <f>'Revenue Model'!F15</f>
        <v>150</v>
      </c>
      <c r="D89" s="16" t="s">
        <v>54</v>
      </c>
      <c r="E89" s="16" t="s">
        <v>54</v>
      </c>
      <c r="F89" s="16" t="s">
        <v>54</v>
      </c>
      <c r="G89" s="16" t="s">
        <v>54</v>
      </c>
      <c r="H89" s="16" t="s">
        <v>54</v>
      </c>
    </row>
    <row r="90" ht="36.0" customHeight="1">
      <c r="A90" s="16" t="s">
        <v>836</v>
      </c>
      <c r="B90" s="16" t="s">
        <v>54</v>
      </c>
      <c r="C90" s="65">
        <f>C89*C81</f>
        <v>290700</v>
      </c>
      <c r="D90" s="16" t="s">
        <v>54</v>
      </c>
      <c r="E90" s="16" t="s">
        <v>54</v>
      </c>
      <c r="F90" s="16" t="s">
        <v>54</v>
      </c>
      <c r="G90" s="16" t="s">
        <v>54</v>
      </c>
      <c r="H90" s="16" t="s">
        <v>54</v>
      </c>
    </row>
    <row r="91" ht="36.0" customHeight="1">
      <c r="A91" s="16" t="s">
        <v>837</v>
      </c>
      <c r="B91" s="16" t="s">
        <v>54</v>
      </c>
      <c r="C91" s="65">
        <f>C89*'Revenue Model'!B20</f>
        <v>400125</v>
      </c>
      <c r="D91" s="16" t="s">
        <v>54</v>
      </c>
      <c r="E91" s="16" t="s">
        <v>54</v>
      </c>
      <c r="F91" s="16" t="s">
        <v>54</v>
      </c>
      <c r="G91" s="16" t="s">
        <v>54</v>
      </c>
      <c r="H91" s="16" t="s">
        <v>54</v>
      </c>
    </row>
    <row r="92" ht="36.0" customHeight="1">
      <c r="A92" s="16" t="s">
        <v>838</v>
      </c>
      <c r="B92" s="16" t="s">
        <v>54</v>
      </c>
      <c r="C92" s="74">
        <f>IF(C77=0,0,C89/C77)</f>
        <v>0.2067117941</v>
      </c>
      <c r="D92" s="16" t="s">
        <v>54</v>
      </c>
      <c r="E92" s="16" t="s">
        <v>54</v>
      </c>
      <c r="F92" s="16" t="s">
        <v>54</v>
      </c>
      <c r="G92" s="16" t="s">
        <v>54</v>
      </c>
      <c r="H92" s="16" t="s">
        <v>54</v>
      </c>
    </row>
    <row r="93" ht="36.0" customHeight="1">
      <c r="A93" s="16" t="s">
        <v>839</v>
      </c>
      <c r="B93" s="16" t="s">
        <v>54</v>
      </c>
      <c r="C93" s="28">
        <f>IF(C95*C96=0,0,ROUNDUP(C89/(C95*C96),0))</f>
        <v>3000</v>
      </c>
      <c r="D93" s="16" t="s">
        <v>54</v>
      </c>
      <c r="E93" s="16" t="s">
        <v>54</v>
      </c>
      <c r="F93" s="16" t="s">
        <v>54</v>
      </c>
      <c r="G93" s="16" t="s">
        <v>54</v>
      </c>
      <c r="H93" s="16" t="s">
        <v>54</v>
      </c>
    </row>
    <row r="94" ht="36.0" customHeight="1">
      <c r="A94" s="16" t="s">
        <v>840</v>
      </c>
      <c r="B94" s="16" t="s">
        <v>54</v>
      </c>
      <c r="C94" s="28">
        <f>C93*C95</f>
        <v>750</v>
      </c>
      <c r="D94" s="16" t="s">
        <v>54</v>
      </c>
      <c r="E94" s="16" t="s">
        <v>54</v>
      </c>
      <c r="F94" s="16" t="s">
        <v>54</v>
      </c>
      <c r="G94" s="16" t="s">
        <v>54</v>
      </c>
      <c r="H94" s="16" t="s">
        <v>54</v>
      </c>
    </row>
    <row r="95" ht="36.0" customHeight="1">
      <c r="A95" s="16" t="s">
        <v>841</v>
      </c>
      <c r="B95" s="16" t="s">
        <v>54</v>
      </c>
      <c r="C95" s="74">
        <v>0.25</v>
      </c>
      <c r="D95" s="16" t="s">
        <v>54</v>
      </c>
      <c r="E95" s="16" t="s">
        <v>54</v>
      </c>
      <c r="F95" s="16" t="s">
        <v>54</v>
      </c>
      <c r="G95" s="16" t="s">
        <v>54</v>
      </c>
      <c r="H95" s="16" t="s">
        <v>54</v>
      </c>
    </row>
    <row r="96" ht="36.0" customHeight="1">
      <c r="A96" s="16" t="s">
        <v>842</v>
      </c>
      <c r="B96" s="16" t="s">
        <v>54</v>
      </c>
      <c r="C96" s="74">
        <v>0.2</v>
      </c>
      <c r="D96" s="16" t="s">
        <v>54</v>
      </c>
      <c r="E96" s="16" t="s">
        <v>54</v>
      </c>
      <c r="F96" s="16" t="s">
        <v>54</v>
      </c>
      <c r="G96" s="16" t="s">
        <v>54</v>
      </c>
      <c r="H96" s="16" t="s">
        <v>54</v>
      </c>
    </row>
    <row r="97" ht="36.0" customHeight="1">
      <c r="A97" s="16" t="s">
        <v>843</v>
      </c>
      <c r="B97" s="16" t="s">
        <v>54</v>
      </c>
      <c r="C97" s="28">
        <v>4.0</v>
      </c>
      <c r="D97" s="16" t="s">
        <v>54</v>
      </c>
      <c r="E97" s="16" t="s">
        <v>54</v>
      </c>
      <c r="F97" s="16" t="s">
        <v>54</v>
      </c>
      <c r="G97" s="16" t="s">
        <v>54</v>
      </c>
      <c r="H97" s="16" t="s">
        <v>54</v>
      </c>
    </row>
    <row r="98" ht="36.0" customHeight="1">
      <c r="A98" s="16" t="s">
        <v>844</v>
      </c>
      <c r="B98" s="16" t="s">
        <v>54</v>
      </c>
      <c r="C98" s="28">
        <v>20.0</v>
      </c>
      <c r="D98" s="16" t="s">
        <v>54</v>
      </c>
      <c r="E98" s="16" t="s">
        <v>54</v>
      </c>
      <c r="F98" s="16" t="s">
        <v>54</v>
      </c>
      <c r="G98" s="16" t="s">
        <v>54</v>
      </c>
      <c r="H98" s="16" t="s">
        <v>54</v>
      </c>
    </row>
    <row r="99" ht="36.0" customHeight="1">
      <c r="A99" s="16" t="s">
        <v>845</v>
      </c>
      <c r="B99" s="16" t="s">
        <v>54</v>
      </c>
      <c r="C99" s="83">
        <f>C94/C97/C98</f>
        <v>9.375</v>
      </c>
      <c r="D99" s="16" t="s">
        <v>54</v>
      </c>
      <c r="E99" s="16" t="s">
        <v>54</v>
      </c>
      <c r="F99" s="16" t="s">
        <v>54</v>
      </c>
      <c r="G99" s="16" t="s">
        <v>54</v>
      </c>
      <c r="H99" s="16" t="s">
        <v>54</v>
      </c>
    </row>
    <row r="100" ht="36.0" customHeight="1">
      <c r="A100" s="16" t="s">
        <v>846</v>
      </c>
      <c r="B100" s="16" t="s">
        <v>54</v>
      </c>
      <c r="C100" s="24">
        <f>'Revenue Model'!F14/C89</f>
        <v>2000</v>
      </c>
      <c r="D100" s="16" t="s">
        <v>54</v>
      </c>
      <c r="E100" s="16" t="s">
        <v>54</v>
      </c>
      <c r="F100" s="16" t="s">
        <v>54</v>
      </c>
      <c r="G100" s="16" t="s">
        <v>54</v>
      </c>
      <c r="H100" s="16" t="s">
        <v>54</v>
      </c>
    </row>
    <row r="101" ht="36.0" customHeight="1">
      <c r="A101" s="16" t="s">
        <v>847</v>
      </c>
      <c r="B101" s="16" t="s">
        <v>54</v>
      </c>
      <c r="C101" s="24" t="str">
        <f>('Use Of Funds'!C4+'Use Of Funds'!C5)/C89</f>
        <v>#VALUE!</v>
      </c>
      <c r="D101" s="16" t="s">
        <v>54</v>
      </c>
      <c r="E101" s="16" t="s">
        <v>54</v>
      </c>
      <c r="F101" s="16" t="s">
        <v>54</v>
      </c>
      <c r="G101" s="16" t="s">
        <v>54</v>
      </c>
      <c r="H101" s="16" t="s">
        <v>54</v>
      </c>
    </row>
    <row r="102" ht="36.0" customHeight="1">
      <c r="A102" s="16" t="s">
        <v>54</v>
      </c>
      <c r="B102" s="16" t="s">
        <v>54</v>
      </c>
      <c r="C102" s="16" t="s">
        <v>54</v>
      </c>
      <c r="D102" s="16" t="s">
        <v>54</v>
      </c>
      <c r="E102" s="16" t="s">
        <v>54</v>
      </c>
      <c r="F102" s="16" t="s">
        <v>54</v>
      </c>
      <c r="G102" s="16" t="s">
        <v>54</v>
      </c>
      <c r="H102" s="16" t="s">
        <v>54</v>
      </c>
    </row>
    <row r="103" ht="36.0" customHeight="1">
      <c r="A103" s="16" t="s">
        <v>848</v>
      </c>
    </row>
    <row r="104" ht="36.0" customHeight="1">
      <c r="A104" s="16" t="s">
        <v>849</v>
      </c>
    </row>
    <row r="105" ht="36.0" customHeight="1">
      <c r="A105" s="16" t="s">
        <v>54</v>
      </c>
      <c r="B105" s="16" t="s">
        <v>54</v>
      </c>
      <c r="C105" s="16" t="s">
        <v>54</v>
      </c>
      <c r="D105" s="16" t="s">
        <v>54</v>
      </c>
      <c r="E105" s="16" t="s">
        <v>54</v>
      </c>
      <c r="F105" s="16" t="s">
        <v>54</v>
      </c>
      <c r="G105" s="16" t="s">
        <v>54</v>
      </c>
      <c r="H105" s="16" t="s">
        <v>54</v>
      </c>
    </row>
    <row r="106" ht="48.75" customHeight="1">
      <c r="A106" s="15" t="s">
        <v>850</v>
      </c>
      <c r="B106" s="15" t="s">
        <v>54</v>
      </c>
      <c r="C106" s="15" t="s">
        <v>851</v>
      </c>
      <c r="D106" s="15" t="s">
        <v>54</v>
      </c>
      <c r="E106" s="15" t="s">
        <v>54</v>
      </c>
      <c r="F106" s="15" t="s">
        <v>54</v>
      </c>
      <c r="G106" s="15" t="s">
        <v>54</v>
      </c>
      <c r="H106" s="15" t="s">
        <v>852</v>
      </c>
    </row>
    <row r="107" ht="48.75" customHeight="1">
      <c r="A107" s="16" t="s">
        <v>853</v>
      </c>
      <c r="B107" s="16" t="s">
        <v>54</v>
      </c>
      <c r="C107" s="74">
        <f>C68</f>
        <v>0.1264118108</v>
      </c>
      <c r="D107" s="16" t="s">
        <v>54</v>
      </c>
      <c r="E107" s="16" t="s">
        <v>54</v>
      </c>
      <c r="F107" s="16" t="s">
        <v>54</v>
      </c>
      <c r="G107" s="16" t="s">
        <v>54</v>
      </c>
      <c r="H107" s="16" t="s">
        <v>854</v>
      </c>
    </row>
    <row r="108" ht="48.75" customHeight="1">
      <c r="A108" s="16" t="s">
        <v>855</v>
      </c>
      <c r="B108" s="16" t="s">
        <v>54</v>
      </c>
      <c r="C108" s="74">
        <f>C84</f>
        <v>0.1577145936</v>
      </c>
      <c r="D108" s="16" t="s">
        <v>54</v>
      </c>
      <c r="E108" s="16" t="s">
        <v>54</v>
      </c>
      <c r="F108" s="16" t="s">
        <v>54</v>
      </c>
      <c r="G108" s="16" t="s">
        <v>54</v>
      </c>
      <c r="H108" s="16" t="s">
        <v>856</v>
      </c>
    </row>
    <row r="109" ht="48.75" customHeight="1">
      <c r="A109" s="16" t="s">
        <v>857</v>
      </c>
      <c r="B109" s="16" t="s">
        <v>54</v>
      </c>
      <c r="C109" s="16" t="s">
        <v>858</v>
      </c>
      <c r="H109" s="16" t="s">
        <v>859</v>
      </c>
    </row>
    <row r="110" ht="48.75" customHeight="1">
      <c r="A110" s="16" t="s">
        <v>860</v>
      </c>
      <c r="B110" s="16" t="s">
        <v>54</v>
      </c>
      <c r="C110" s="16" t="s">
        <v>861</v>
      </c>
      <c r="H110" s="16" t="s">
        <v>862</v>
      </c>
    </row>
    <row r="111" ht="48.75" customHeight="1">
      <c r="A111" s="16" t="s">
        <v>863</v>
      </c>
      <c r="B111" s="16" t="s">
        <v>54</v>
      </c>
      <c r="C111" s="16" t="s">
        <v>864</v>
      </c>
      <c r="H111" s="16" t="s">
        <v>865</v>
      </c>
    </row>
    <row r="112" ht="48.75" customHeight="1">
      <c r="A112" s="16" t="s">
        <v>866</v>
      </c>
      <c r="B112" s="16" t="s">
        <v>54</v>
      </c>
      <c r="C112" s="16" t="s">
        <v>867</v>
      </c>
      <c r="H112" s="16" t="s">
        <v>868</v>
      </c>
    </row>
    <row r="113" ht="48.75" customHeight="1">
      <c r="A113" s="16" t="s">
        <v>869</v>
      </c>
      <c r="B113" s="16" t="s">
        <v>54</v>
      </c>
      <c r="C113" s="16" t="s">
        <v>870</v>
      </c>
      <c r="H113" s="16" t="s">
        <v>871</v>
      </c>
    </row>
    <row r="114" ht="48.75" customHeight="1">
      <c r="A114" s="16" t="s">
        <v>872</v>
      </c>
      <c r="B114" s="16" t="s">
        <v>54</v>
      </c>
      <c r="C114" s="16" t="s">
        <v>873</v>
      </c>
      <c r="H114" s="16" t="s">
        <v>874</v>
      </c>
    </row>
    <row r="115" ht="48.75" customHeight="1">
      <c r="A115" s="16" t="s">
        <v>875</v>
      </c>
      <c r="B115" s="16" t="s">
        <v>54</v>
      </c>
      <c r="C115" s="16" t="s">
        <v>876</v>
      </c>
      <c r="H115" s="16" t="s">
        <v>877</v>
      </c>
    </row>
    <row r="116" ht="48.75" customHeight="1">
      <c r="A116" s="16" t="s">
        <v>878</v>
      </c>
      <c r="B116" s="16" t="s">
        <v>54</v>
      </c>
      <c r="C116" s="16" t="s">
        <v>879</v>
      </c>
      <c r="H116" s="16" t="s">
        <v>880</v>
      </c>
    </row>
    <row r="117" ht="48.75" customHeight="1">
      <c r="A117" s="16" t="s">
        <v>881</v>
      </c>
      <c r="B117" s="16" t="s">
        <v>54</v>
      </c>
      <c r="C117" s="16" t="s">
        <v>882</v>
      </c>
      <c r="H117" s="16" t="s">
        <v>883</v>
      </c>
    </row>
    <row r="118" ht="48.75" customHeight="1">
      <c r="A118" s="16" t="s">
        <v>884</v>
      </c>
      <c r="B118" s="16" t="s">
        <v>54</v>
      </c>
      <c r="C118" s="16" t="s">
        <v>885</v>
      </c>
      <c r="H118" s="16" t="s">
        <v>886</v>
      </c>
    </row>
    <row r="119" ht="36.0" customHeight="1">
      <c r="A119" s="16" t="s">
        <v>54</v>
      </c>
      <c r="B119" s="16" t="s">
        <v>54</v>
      </c>
      <c r="C119" s="16" t="s">
        <v>54</v>
      </c>
      <c r="D119" s="16" t="s">
        <v>54</v>
      </c>
      <c r="E119" s="16" t="s">
        <v>54</v>
      </c>
      <c r="F119" s="16" t="s">
        <v>54</v>
      </c>
      <c r="G119" s="16" t="s">
        <v>54</v>
      </c>
      <c r="H119" s="16" t="s">
        <v>54</v>
      </c>
    </row>
    <row r="120" ht="36.0" customHeight="1">
      <c r="A120" s="15" t="s">
        <v>887</v>
      </c>
    </row>
    <row r="121" ht="36.0" customHeight="1">
      <c r="A121" s="15" t="s">
        <v>682</v>
      </c>
      <c r="B121" s="15" t="s">
        <v>888</v>
      </c>
      <c r="C121" s="15" t="s">
        <v>889</v>
      </c>
      <c r="D121" s="15" t="s">
        <v>890</v>
      </c>
      <c r="E121" s="15" t="s">
        <v>891</v>
      </c>
      <c r="F121" s="15" t="s">
        <v>54</v>
      </c>
      <c r="G121" s="15" t="s">
        <v>54</v>
      </c>
      <c r="H121" s="15" t="s">
        <v>892</v>
      </c>
    </row>
    <row r="122" ht="58.5" customHeight="1">
      <c r="A122" s="16" t="s">
        <v>422</v>
      </c>
      <c r="B122" s="16" t="s">
        <v>893</v>
      </c>
      <c r="C122" s="16" t="s">
        <v>894</v>
      </c>
      <c r="D122" s="16" t="s">
        <v>575</v>
      </c>
      <c r="E122" s="16" t="s">
        <v>428</v>
      </c>
      <c r="H122" s="16" t="s">
        <v>895</v>
      </c>
    </row>
    <row r="123" ht="58.5" customHeight="1">
      <c r="A123" s="16" t="s">
        <v>896</v>
      </c>
      <c r="B123" s="16" t="s">
        <v>897</v>
      </c>
      <c r="C123" s="16" t="s">
        <v>898</v>
      </c>
      <c r="D123" s="16" t="s">
        <v>575</v>
      </c>
      <c r="E123" s="16" t="s">
        <v>432</v>
      </c>
      <c r="H123" s="16" t="s">
        <v>899</v>
      </c>
    </row>
    <row r="124" ht="58.5" customHeight="1">
      <c r="A124" s="16" t="s">
        <v>433</v>
      </c>
      <c r="B124" s="16" t="s">
        <v>900</v>
      </c>
      <c r="C124" s="16" t="s">
        <v>901</v>
      </c>
      <c r="D124" s="16" t="s">
        <v>575</v>
      </c>
      <c r="E124" s="16" t="s">
        <v>437</v>
      </c>
      <c r="H124" s="16" t="s">
        <v>902</v>
      </c>
    </row>
    <row r="125" ht="58.5" customHeight="1">
      <c r="A125" s="16" t="s">
        <v>438</v>
      </c>
      <c r="B125" s="16" t="s">
        <v>903</v>
      </c>
      <c r="C125" s="16" t="s">
        <v>904</v>
      </c>
      <c r="D125" s="16" t="s">
        <v>575</v>
      </c>
      <c r="E125" s="16" t="s">
        <v>441</v>
      </c>
      <c r="H125" s="16" t="s">
        <v>905</v>
      </c>
    </row>
    <row r="126" ht="58.5" customHeight="1">
      <c r="A126" s="16" t="s">
        <v>906</v>
      </c>
      <c r="B126" s="16" t="s">
        <v>907</v>
      </c>
      <c r="C126" s="16" t="s">
        <v>908</v>
      </c>
      <c r="D126" s="16" t="s">
        <v>575</v>
      </c>
      <c r="E126" s="16" t="s">
        <v>909</v>
      </c>
      <c r="H126" s="16" t="s">
        <v>910</v>
      </c>
    </row>
    <row r="127" ht="58.5" customHeight="1">
      <c r="A127" s="16" t="s">
        <v>906</v>
      </c>
      <c r="B127" s="16" t="s">
        <v>911</v>
      </c>
      <c r="C127" s="16" t="s">
        <v>908</v>
      </c>
      <c r="D127" s="16" t="s">
        <v>575</v>
      </c>
      <c r="E127" s="16" t="s">
        <v>912</v>
      </c>
      <c r="H127" s="16" t="s">
        <v>913</v>
      </c>
    </row>
    <row r="128" ht="58.5" customHeight="1">
      <c r="A128" s="16" t="s">
        <v>914</v>
      </c>
      <c r="B128" s="16" t="s">
        <v>915</v>
      </c>
      <c r="C128" s="16" t="s">
        <v>916</v>
      </c>
      <c r="D128" s="16" t="s">
        <v>917</v>
      </c>
      <c r="E128" s="16" t="s">
        <v>918</v>
      </c>
      <c r="H128" s="16" t="s">
        <v>919</v>
      </c>
    </row>
    <row r="129" ht="58.5" customHeight="1">
      <c r="A129" s="16" t="s">
        <v>920</v>
      </c>
      <c r="B129" s="16" t="s">
        <v>921</v>
      </c>
      <c r="C129" s="16" t="s">
        <v>916</v>
      </c>
      <c r="D129" s="16" t="s">
        <v>917</v>
      </c>
      <c r="E129" s="16" t="s">
        <v>922</v>
      </c>
      <c r="H129" s="16" t="s">
        <v>923</v>
      </c>
    </row>
    <row r="130" ht="58.5" customHeight="1">
      <c r="A130" s="16" t="s">
        <v>924</v>
      </c>
      <c r="B130" s="16" t="s">
        <v>925</v>
      </c>
      <c r="C130" s="84" t="s">
        <v>926</v>
      </c>
      <c r="D130" s="16" t="s">
        <v>927</v>
      </c>
      <c r="E130" s="16" t="s">
        <v>928</v>
      </c>
      <c r="H130" s="16" t="s">
        <v>929</v>
      </c>
    </row>
    <row r="131" ht="58.5" customHeight="1">
      <c r="A131" s="16" t="s">
        <v>930</v>
      </c>
      <c r="B131" s="16" t="s">
        <v>931</v>
      </c>
      <c r="C131" s="16" t="s">
        <v>932</v>
      </c>
      <c r="D131" s="16" t="s">
        <v>933</v>
      </c>
      <c r="E131" s="16" t="s">
        <v>934</v>
      </c>
      <c r="H131" s="16" t="s">
        <v>935</v>
      </c>
    </row>
    <row r="132" ht="58.5" customHeight="1">
      <c r="A132" s="16" t="s">
        <v>936</v>
      </c>
      <c r="B132" s="16" t="s">
        <v>937</v>
      </c>
      <c r="C132" s="16" t="s">
        <v>938</v>
      </c>
      <c r="D132" s="16" t="s">
        <v>939</v>
      </c>
      <c r="E132" s="16" t="s">
        <v>940</v>
      </c>
      <c r="H132" s="16" t="s">
        <v>941</v>
      </c>
    </row>
    <row r="133" ht="58.5" customHeight="1">
      <c r="A133" s="16" t="s">
        <v>942</v>
      </c>
      <c r="B133" s="16" t="s">
        <v>943</v>
      </c>
      <c r="C133" s="16" t="s">
        <v>944</v>
      </c>
      <c r="D133" s="16" t="s">
        <v>945</v>
      </c>
      <c r="E133" s="16" t="s">
        <v>946</v>
      </c>
      <c r="H133" s="16" t="s">
        <v>947</v>
      </c>
    </row>
    <row r="134" ht="58.5" customHeight="1">
      <c r="A134" s="16" t="s">
        <v>948</v>
      </c>
      <c r="B134" s="16" t="s">
        <v>949</v>
      </c>
      <c r="C134" s="16" t="s">
        <v>950</v>
      </c>
      <c r="D134" s="16" t="s">
        <v>951</v>
      </c>
      <c r="E134" s="16" t="s">
        <v>952</v>
      </c>
      <c r="H134" s="16" t="s">
        <v>953</v>
      </c>
    </row>
    <row r="135" ht="36.0" customHeight="1">
      <c r="A135" s="16" t="s">
        <v>54</v>
      </c>
      <c r="B135" s="16" t="s">
        <v>54</v>
      </c>
      <c r="C135" s="16" t="s">
        <v>54</v>
      </c>
      <c r="D135" s="16" t="s">
        <v>54</v>
      </c>
      <c r="E135" s="16" t="s">
        <v>54</v>
      </c>
      <c r="F135" s="16" t="s">
        <v>54</v>
      </c>
      <c r="G135" s="16" t="s">
        <v>54</v>
      </c>
      <c r="H135" s="16" t="s">
        <v>54</v>
      </c>
    </row>
    <row r="136" ht="36.0" customHeight="1">
      <c r="A136" s="16" t="s">
        <v>54</v>
      </c>
      <c r="B136" s="16" t="s">
        <v>54</v>
      </c>
      <c r="C136" s="16" t="s">
        <v>54</v>
      </c>
      <c r="D136" s="16" t="s">
        <v>54</v>
      </c>
      <c r="E136" s="16" t="s">
        <v>54</v>
      </c>
      <c r="F136" s="16" t="s">
        <v>54</v>
      </c>
      <c r="G136" s="16" t="s">
        <v>54</v>
      </c>
      <c r="H136" s="16" t="s">
        <v>54</v>
      </c>
    </row>
    <row r="137" ht="36.0" customHeight="1">
      <c r="A137" s="15" t="s">
        <v>954</v>
      </c>
    </row>
    <row r="138" ht="36.0" customHeight="1">
      <c r="A138" s="16" t="s">
        <v>955</v>
      </c>
    </row>
    <row r="139" ht="36.0" customHeight="1">
      <c r="A139" s="16" t="s">
        <v>956</v>
      </c>
    </row>
    <row r="140" ht="36.0" customHeight="1">
      <c r="A140" s="16" t="s">
        <v>957</v>
      </c>
    </row>
    <row r="141" ht="36.0" customHeight="1">
      <c r="A141" s="16" t="s">
        <v>958</v>
      </c>
    </row>
    <row r="142" ht="36.0" customHeight="1">
      <c r="A142" s="16" t="s">
        <v>959</v>
      </c>
    </row>
    <row r="143" ht="36.0" customHeight="1">
      <c r="A143" s="16" t="s">
        <v>960</v>
      </c>
    </row>
    <row r="144" ht="36.0" customHeight="1">
      <c r="A144" s="16" t="s">
        <v>961</v>
      </c>
    </row>
    <row r="145" ht="36.0" customHeight="1">
      <c r="A145" s="16" t="s">
        <v>54</v>
      </c>
      <c r="B145" s="16" t="s">
        <v>54</v>
      </c>
      <c r="C145" s="16" t="s">
        <v>54</v>
      </c>
      <c r="D145" s="16" t="s">
        <v>54</v>
      </c>
      <c r="E145" s="16" t="s">
        <v>54</v>
      </c>
      <c r="F145" s="16" t="s">
        <v>54</v>
      </c>
      <c r="G145" s="16" t="s">
        <v>54</v>
      </c>
      <c r="H145" s="16" t="s">
        <v>54</v>
      </c>
    </row>
    <row r="146" ht="36.0" customHeight="1">
      <c r="A146" s="15" t="s">
        <v>450</v>
      </c>
    </row>
    <row r="147" ht="36.0" customHeight="1">
      <c r="A147" s="16" t="s">
        <v>962</v>
      </c>
      <c r="B147" s="16" t="s">
        <v>54</v>
      </c>
      <c r="C147" s="85">
        <f>C69</f>
        <v>0</v>
      </c>
      <c r="D147" s="16" t="s">
        <v>54</v>
      </c>
      <c r="E147" s="16" t="s">
        <v>54</v>
      </c>
      <c r="F147" s="16" t="s">
        <v>54</v>
      </c>
      <c r="G147" s="16" t="s">
        <v>54</v>
      </c>
      <c r="H147" s="16" t="s">
        <v>54</v>
      </c>
    </row>
    <row r="148" ht="36.0" customHeight="1">
      <c r="A148" s="16" t="s">
        <v>963</v>
      </c>
      <c r="B148" s="16" t="s">
        <v>54</v>
      </c>
      <c r="C148" s="85">
        <f>C85</f>
        <v>0</v>
      </c>
      <c r="D148" s="16" t="s">
        <v>54</v>
      </c>
      <c r="E148" s="16" t="s">
        <v>54</v>
      </c>
      <c r="F148" s="16" t="s">
        <v>54</v>
      </c>
      <c r="G148" s="16" t="s">
        <v>54</v>
      </c>
      <c r="H148" s="16" t="s">
        <v>54</v>
      </c>
    </row>
    <row r="149" ht="36.0" customHeight="1">
      <c r="A149" s="16" t="s">
        <v>964</v>
      </c>
      <c r="B149" s="16" t="s">
        <v>54</v>
      </c>
      <c r="C149" s="16" t="str">
        <f>IF(AND(C33&gt;=0,C33&lt;=1,C35&gt;=0,C35&lt;=1,C37&gt;=0,C37&lt;=1,C38&gt;=0,C38&lt;=1,C39&gt;=0,C39&lt;=1,C40&gt;=0,C40&lt;=1,C42&gt;=0,C42&lt;=1,C43&gt;=0,C43&lt;=1,C45&gt;=0,C45&lt;=1,C46&gt;=0,C46&lt;=1,C47&gt;=0,C47&lt;=1),"Within 0–100%","Review assumptions")</f>
        <v>Within 0–100%</v>
      </c>
      <c r="D149" s="16" t="s">
        <v>54</v>
      </c>
      <c r="E149" s="16" t="s">
        <v>54</v>
      </c>
      <c r="F149" s="16" t="s">
        <v>54</v>
      </c>
      <c r="G149" s="16" t="s">
        <v>54</v>
      </c>
      <c r="H149" s="16" t="s">
        <v>54</v>
      </c>
    </row>
    <row r="150" ht="36.0" customHeight="1">
      <c r="A150" s="16" t="s">
        <v>965</v>
      </c>
      <c r="B150" s="16" t="s">
        <v>54</v>
      </c>
      <c r="C150" s="16" t="s">
        <v>966</v>
      </c>
      <c r="D150" s="16" t="s">
        <v>54</v>
      </c>
      <c r="E150" s="16" t="s">
        <v>54</v>
      </c>
      <c r="F150" s="16" t="s">
        <v>54</v>
      </c>
      <c r="G150" s="16" t="s">
        <v>54</v>
      </c>
      <c r="H150" s="16" t="s">
        <v>54</v>
      </c>
    </row>
    <row r="151" ht="37.5" customHeight="1">
      <c r="A151" s="16" t="s">
        <v>967</v>
      </c>
    </row>
    <row r="152" ht="37.5" customHeight="1">
      <c r="A152" s="16" t="s">
        <v>968</v>
      </c>
      <c r="B152" s="16"/>
      <c r="C152" s="16" t="str">
        <f>IF(C68&gt;0.3,"High implied spend: review before using in deck","Arithmetic plausible; construction allocation remains unvalidated")</f>
        <v>Arithmetic plausible; construction allocation remains unvalidated</v>
      </c>
    </row>
    <row r="153" ht="37.5" customHeight="1">
      <c r="A153" s="16" t="s">
        <v>969</v>
      </c>
      <c r="B153" s="16"/>
      <c r="C153" s="16" t="s">
        <v>970</v>
      </c>
    </row>
  </sheetData>
  <mergeCells count="60">
    <mergeCell ref="A143:H143"/>
    <mergeCell ref="A144:H144"/>
    <mergeCell ref="A146:H146"/>
    <mergeCell ref="A151:H151"/>
    <mergeCell ref="C152:H152"/>
    <mergeCell ref="C153:H153"/>
    <mergeCell ref="E134:G134"/>
    <mergeCell ref="A137:H137"/>
    <mergeCell ref="A138:H138"/>
    <mergeCell ref="A139:H139"/>
    <mergeCell ref="A140:H140"/>
    <mergeCell ref="A141:H141"/>
    <mergeCell ref="A142:H142"/>
    <mergeCell ref="A8:B8"/>
    <mergeCell ref="A9:B9"/>
    <mergeCell ref="A10:B10"/>
    <mergeCell ref="A11:B11"/>
    <mergeCell ref="A12:B12"/>
    <mergeCell ref="A1:H1"/>
    <mergeCell ref="A2:H2"/>
    <mergeCell ref="A6:B6"/>
    <mergeCell ref="E6:H6"/>
    <mergeCell ref="A7:B7"/>
    <mergeCell ref="E7:H7"/>
    <mergeCell ref="E8:H8"/>
    <mergeCell ref="E9:H9"/>
    <mergeCell ref="E10:H10"/>
    <mergeCell ref="E11:H11"/>
    <mergeCell ref="E12:H12"/>
    <mergeCell ref="A49:H49"/>
    <mergeCell ref="A50:H50"/>
    <mergeCell ref="A51:H51"/>
    <mergeCell ref="A53:H53"/>
    <mergeCell ref="A72:H72"/>
    <mergeCell ref="A87:H87"/>
    <mergeCell ref="A103:H103"/>
    <mergeCell ref="A104:H104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A120:H120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</mergeCells>
  <dataValidations>
    <dataValidation type="list" allowBlank="1" showErrorMessage="1" sqref="C3">
      <formula1>"Low,Base,High"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4.5"/>
    <col customWidth="1" min="2" max="2" width="26.38"/>
    <col customWidth="1" min="3" max="3" width="46.38"/>
    <col customWidth="1" min="4" max="4" width="22.63"/>
    <col customWidth="1" min="5" max="5" width="54.5"/>
  </cols>
  <sheetData>
    <row r="1">
      <c r="A1" s="23" t="s">
        <v>515</v>
      </c>
    </row>
    <row r="2">
      <c r="A2" s="22" t="s">
        <v>518</v>
      </c>
    </row>
    <row r="3">
      <c r="A3" s="22" t="s">
        <v>519</v>
      </c>
    </row>
    <row r="4">
      <c r="A4" s="23" t="s">
        <v>521</v>
      </c>
      <c r="B4" s="23" t="s">
        <v>80</v>
      </c>
      <c r="C4" s="23" t="s">
        <v>523</v>
      </c>
      <c r="D4" s="23"/>
      <c r="E4" s="23"/>
    </row>
    <row r="5">
      <c r="A5" s="22" t="s">
        <v>526</v>
      </c>
      <c r="B5" s="67" t="s">
        <v>527</v>
      </c>
      <c r="C5" s="22" t="s">
        <v>528</v>
      </c>
      <c r="D5" s="22"/>
      <c r="E5" s="22"/>
    </row>
    <row r="6">
      <c r="A6" s="22" t="s">
        <v>531</v>
      </c>
      <c r="B6" s="68">
        <f>'Budget Evidence'!E5</f>
        <v>950000</v>
      </c>
      <c r="C6" s="22" t="s">
        <v>536</v>
      </c>
      <c r="D6" s="22"/>
      <c r="E6" s="22"/>
    </row>
    <row r="7">
      <c r="A7" s="22" t="s">
        <v>537</v>
      </c>
      <c r="B7" s="68">
        <f>'Budget Evidence'!E6</f>
        <v>300000</v>
      </c>
      <c r="C7" s="22" t="s">
        <v>540</v>
      </c>
      <c r="D7" s="22"/>
      <c r="E7" s="22"/>
    </row>
    <row r="8">
      <c r="A8" s="22" t="s">
        <v>541</v>
      </c>
      <c r="B8" s="69">
        <v>0.1</v>
      </c>
      <c r="C8" s="22" t="s">
        <v>543</v>
      </c>
      <c r="D8" s="22"/>
      <c r="E8" s="22"/>
    </row>
    <row r="9">
      <c r="A9" s="22" t="s">
        <v>545</v>
      </c>
      <c r="B9" s="69">
        <v>0.1</v>
      </c>
      <c r="C9" s="22" t="s">
        <v>546</v>
      </c>
      <c r="D9" s="22"/>
      <c r="E9" s="22"/>
    </row>
    <row r="10">
      <c r="A10" s="22" t="s">
        <v>548</v>
      </c>
      <c r="B10" s="69">
        <v>0.2</v>
      </c>
      <c r="C10" s="22" t="s">
        <v>549</v>
      </c>
      <c r="D10" s="22"/>
      <c r="E10" s="22"/>
    </row>
    <row r="11">
      <c r="A11" s="33" t="s">
        <v>551</v>
      </c>
      <c r="B11" s="68">
        <f>'Investor Register'!B5</f>
        <v>20000</v>
      </c>
      <c r="C11" s="22" t="s">
        <v>556</v>
      </c>
      <c r="D11" s="22"/>
      <c r="E11" s="22"/>
    </row>
    <row r="12">
      <c r="A12" s="22" t="s">
        <v>560</v>
      </c>
      <c r="B12" s="68">
        <f>'Investor Register'!B6</f>
        <v>50000</v>
      </c>
      <c r="C12" s="22" t="s">
        <v>563</v>
      </c>
      <c r="D12" s="22"/>
      <c r="E12" s="22"/>
    </row>
    <row r="13">
      <c r="A13" s="22"/>
      <c r="B13" s="22"/>
      <c r="C13" s="22"/>
      <c r="D13" s="22"/>
      <c r="E13" s="22"/>
    </row>
    <row r="14">
      <c r="A14" s="23" t="s">
        <v>564</v>
      </c>
      <c r="B14" s="23" t="s">
        <v>80</v>
      </c>
      <c r="C14" s="23" t="s">
        <v>63</v>
      </c>
      <c r="D14" s="23"/>
      <c r="E14" s="23"/>
    </row>
    <row r="15">
      <c r="A15" s="22" t="s">
        <v>567</v>
      </c>
      <c r="B15" s="68">
        <f>IF(B5="Opening",B20,C20)</f>
        <v>7000000</v>
      </c>
      <c r="C15" s="22" t="s">
        <v>573</v>
      </c>
      <c r="D15" s="22"/>
      <c r="E15" s="22"/>
    </row>
    <row r="16">
      <c r="A16" s="22" t="s">
        <v>574</v>
      </c>
      <c r="B16" s="68">
        <f>B15*(1-B8)</f>
        <v>6300000</v>
      </c>
      <c r="C16" s="22" t="s">
        <v>578</v>
      </c>
      <c r="D16" s="22"/>
      <c r="E16" s="22"/>
    </row>
    <row r="17">
      <c r="A17" s="22" t="s">
        <v>579</v>
      </c>
      <c r="B17" s="68">
        <f>B6-B7</f>
        <v>650000</v>
      </c>
      <c r="C17" s="22" t="s">
        <v>582</v>
      </c>
      <c r="D17" s="22"/>
      <c r="E17" s="22"/>
    </row>
    <row r="18">
      <c r="A18" s="22"/>
      <c r="B18" s="22"/>
      <c r="C18" s="22"/>
      <c r="D18" s="22"/>
      <c r="E18" s="22"/>
    </row>
    <row r="19">
      <c r="A19" s="23" t="s">
        <v>583</v>
      </c>
      <c r="B19" s="23" t="s">
        <v>527</v>
      </c>
      <c r="C19" s="23" t="s">
        <v>584</v>
      </c>
      <c r="D19" s="23"/>
      <c r="E19" s="23"/>
    </row>
    <row r="20">
      <c r="A20" s="22" t="s">
        <v>567</v>
      </c>
      <c r="B20" s="70">
        <v>7000000.0</v>
      </c>
      <c r="C20" s="70">
        <v>6000000.0</v>
      </c>
      <c r="D20" s="22"/>
      <c r="E20" s="22"/>
    </row>
    <row r="21">
      <c r="A21" s="22"/>
      <c r="B21" s="22"/>
      <c r="C21" s="22"/>
      <c r="D21" s="22"/>
      <c r="E21" s="22"/>
    </row>
    <row r="22">
      <c r="A22" s="22" t="s">
        <v>587</v>
      </c>
      <c r="B22" s="22"/>
      <c r="C22" s="22" t="s">
        <v>588</v>
      </c>
      <c r="D22" s="22"/>
      <c r="E22" s="22"/>
    </row>
    <row r="23">
      <c r="A23" s="22" t="s">
        <v>589</v>
      </c>
      <c r="B23" s="22"/>
      <c r="C23" s="22" t="s">
        <v>590</v>
      </c>
      <c r="D23" s="22"/>
      <c r="E23" s="22"/>
    </row>
    <row r="24">
      <c r="A24" s="22" t="s">
        <v>591</v>
      </c>
      <c r="B24" s="73">
        <v>1.0</v>
      </c>
      <c r="C24" s="33" t="s">
        <v>593</v>
      </c>
      <c r="D24" s="22"/>
      <c r="E24" s="22"/>
    </row>
    <row r="25">
      <c r="A25" s="22"/>
      <c r="B25" s="22"/>
      <c r="C25" s="22"/>
      <c r="D25" s="22"/>
      <c r="E25" s="22"/>
    </row>
    <row r="26">
      <c r="A26" s="23" t="s">
        <v>595</v>
      </c>
    </row>
    <row r="27">
      <c r="A27" s="23" t="s">
        <v>596</v>
      </c>
      <c r="B27" s="23" t="s">
        <v>597</v>
      </c>
      <c r="C27" s="23" t="s">
        <v>599</v>
      </c>
      <c r="D27" s="23" t="s">
        <v>601</v>
      </c>
      <c r="E27" s="23" t="s">
        <v>602</v>
      </c>
    </row>
    <row r="28">
      <c r="A28" s="22" t="s">
        <v>104</v>
      </c>
      <c r="B28" s="60">
        <v>0.0</v>
      </c>
      <c r="C28" s="60"/>
      <c r="D28" s="73">
        <f>1-SUM(D30:D33)-D29</f>
        <v>0.7595238095</v>
      </c>
      <c r="E28" s="22" t="s">
        <v>605</v>
      </c>
    </row>
    <row r="29">
      <c r="A29" s="22" t="s">
        <v>606</v>
      </c>
      <c r="B29" s="60">
        <v>0.0</v>
      </c>
      <c r="C29" s="60"/>
      <c r="D29" s="73">
        <f>$B$9</f>
        <v>0.1</v>
      </c>
      <c r="E29" s="22" t="s">
        <v>607</v>
      </c>
    </row>
    <row r="30">
      <c r="A30" s="33" t="s">
        <v>608</v>
      </c>
      <c r="B30" s="60">
        <f>$B$11</f>
        <v>20000</v>
      </c>
      <c r="C30" s="60">
        <f t="shared" ref="C30:C32" si="1">$B$16</f>
        <v>6300000</v>
      </c>
      <c r="D30" s="73">
        <f t="shared" ref="D30:D33" si="2">B30/C30</f>
        <v>0.003174603175</v>
      </c>
      <c r="E30" s="22" t="s">
        <v>614</v>
      </c>
    </row>
    <row r="31">
      <c r="A31" s="22" t="s">
        <v>615</v>
      </c>
      <c r="B31" s="60">
        <f>$B$12</f>
        <v>50000</v>
      </c>
      <c r="C31" s="60">
        <f t="shared" si="1"/>
        <v>6300000</v>
      </c>
      <c r="D31" s="73">
        <f t="shared" si="2"/>
        <v>0.007936507937</v>
      </c>
      <c r="E31" s="22" t="s">
        <v>617</v>
      </c>
    </row>
    <row r="32">
      <c r="A32" s="22" t="s">
        <v>618</v>
      </c>
      <c r="B32" s="60">
        <f>$B$7-SUM(B30:B31)</f>
        <v>230000</v>
      </c>
      <c r="C32" s="60">
        <f t="shared" si="1"/>
        <v>6300000</v>
      </c>
      <c r="D32" s="73">
        <f t="shared" si="2"/>
        <v>0.03650793651</v>
      </c>
      <c r="E32" s="22" t="s">
        <v>622</v>
      </c>
    </row>
    <row r="33">
      <c r="A33" s="22" t="s">
        <v>623</v>
      </c>
      <c r="B33" s="60">
        <f>$B$17</f>
        <v>650000</v>
      </c>
      <c r="C33" s="60">
        <f>$B$15</f>
        <v>7000000</v>
      </c>
      <c r="D33" s="73">
        <f t="shared" si="2"/>
        <v>0.09285714286</v>
      </c>
      <c r="E33" s="22" t="s">
        <v>630</v>
      </c>
    </row>
    <row r="34">
      <c r="A34" s="23" t="s">
        <v>22</v>
      </c>
      <c r="B34" s="61">
        <f>SUM(B28:B33)</f>
        <v>950000</v>
      </c>
      <c r="C34" s="61"/>
      <c r="D34" s="75">
        <f>SUM(D28:D33)</f>
        <v>1</v>
      </c>
      <c r="E34" s="23" t="s">
        <v>634</v>
      </c>
    </row>
    <row r="35">
      <c r="A35" s="23" t="s">
        <v>635</v>
      </c>
      <c r="B35" s="61">
        <f>SUM(B30:B33)</f>
        <v>950000</v>
      </c>
      <c r="C35" s="61"/>
      <c r="D35" s="75">
        <f>SUM(D30:D33)</f>
        <v>0.1404761905</v>
      </c>
      <c r="E35" s="23" t="s">
        <v>639</v>
      </c>
    </row>
    <row r="36">
      <c r="A36" s="22"/>
      <c r="B36" s="22"/>
      <c r="C36" s="22"/>
      <c r="D36" s="22"/>
      <c r="E36" s="22"/>
    </row>
    <row r="37">
      <c r="A37" s="23" t="s">
        <v>641</v>
      </c>
      <c r="B37" s="23" t="s">
        <v>642</v>
      </c>
      <c r="C37" s="23" t="s">
        <v>63</v>
      </c>
      <c r="D37" s="23"/>
      <c r="E37" s="23"/>
    </row>
    <row r="38">
      <c r="A38" s="22" t="s">
        <v>643</v>
      </c>
      <c r="B38" s="68">
        <f>'Investor Register'!B16</f>
        <v>70000</v>
      </c>
      <c r="C38" s="22" t="s">
        <v>646</v>
      </c>
      <c r="D38" s="22"/>
      <c r="E38" s="22"/>
    </row>
    <row r="39">
      <c r="A39" s="22" t="s">
        <v>648</v>
      </c>
      <c r="B39" s="68">
        <f>'Investor Register'!C16</f>
        <v>13000</v>
      </c>
      <c r="C39" s="22" t="s">
        <v>651</v>
      </c>
      <c r="D39" s="22"/>
      <c r="E39" s="22"/>
    </row>
    <row r="40">
      <c r="A40" s="22" t="s">
        <v>652</v>
      </c>
      <c r="B40" s="68">
        <f>B38-B39</f>
        <v>57000</v>
      </c>
      <c r="C40" s="22" t="s">
        <v>657</v>
      </c>
      <c r="D40" s="22"/>
      <c r="E40" s="22"/>
    </row>
    <row r="41">
      <c r="A41" s="22" t="s">
        <v>659</v>
      </c>
      <c r="B41" s="68">
        <f>'Investor Register'!D16</f>
        <v>0</v>
      </c>
      <c r="C41" s="22" t="s">
        <v>662</v>
      </c>
      <c r="D41" s="22"/>
      <c r="E41" s="22"/>
    </row>
    <row r="42">
      <c r="A42" s="22" t="s">
        <v>666</v>
      </c>
      <c r="B42" s="68">
        <f>'Investor Register'!K16</f>
        <v>0</v>
      </c>
      <c r="C42" s="22" t="s">
        <v>671</v>
      </c>
      <c r="D42" s="22"/>
      <c r="E42" s="22"/>
    </row>
    <row r="43">
      <c r="A43" s="22" t="s">
        <v>674</v>
      </c>
      <c r="B43" s="68">
        <f>B6-B39</f>
        <v>937000</v>
      </c>
      <c r="C43" s="22" t="s">
        <v>681</v>
      </c>
      <c r="D43" s="22"/>
      <c r="E43" s="22"/>
    </row>
    <row r="44">
      <c r="A44" s="22" t="s">
        <v>683</v>
      </c>
      <c r="B44" s="68">
        <f>B6-B42</f>
        <v>950000</v>
      </c>
      <c r="C44" s="33" t="s">
        <v>690</v>
      </c>
      <c r="D44" s="22"/>
      <c r="E44" s="22"/>
    </row>
    <row r="45">
      <c r="A45" s="22"/>
      <c r="B45" s="22"/>
      <c r="C45" s="22"/>
      <c r="D45" s="22"/>
      <c r="E45" s="22"/>
    </row>
    <row r="46">
      <c r="A46" s="23" t="s">
        <v>693</v>
      </c>
      <c r="B46" s="23" t="s">
        <v>453</v>
      </c>
      <c r="C46" s="23" t="s">
        <v>63</v>
      </c>
      <c r="D46" s="23"/>
      <c r="E46" s="23"/>
    </row>
    <row r="47">
      <c r="A47" s="22" t="s">
        <v>697</v>
      </c>
      <c r="B47" s="73">
        <f>B9/(1-D35)</f>
        <v>0.1163434903</v>
      </c>
      <c r="C47" s="22" t="s">
        <v>704</v>
      </c>
      <c r="D47" s="22"/>
      <c r="E47" s="22"/>
    </row>
    <row r="48">
      <c r="A48" s="22" t="s">
        <v>706</v>
      </c>
      <c r="B48" s="73">
        <f>D34-1</f>
        <v>0</v>
      </c>
      <c r="C48" s="22" t="s">
        <v>710</v>
      </c>
      <c r="D48" s="22"/>
      <c r="E48" s="22"/>
    </row>
    <row r="49">
      <c r="A49" s="22" t="s">
        <v>711</v>
      </c>
      <c r="B49" s="60">
        <f>B34-B6</f>
        <v>0</v>
      </c>
      <c r="C49" s="22" t="s">
        <v>710</v>
      </c>
      <c r="D49" s="22"/>
      <c r="E49" s="22"/>
    </row>
    <row r="50">
      <c r="A50" s="22" t="s">
        <v>712</v>
      </c>
      <c r="B50" s="73">
        <f>B10-D35</f>
        <v>0.05952380952</v>
      </c>
      <c r="C50" s="22" t="s">
        <v>719</v>
      </c>
      <c r="D50" s="22"/>
      <c r="E50" s="22"/>
    </row>
    <row r="51">
      <c r="A51" s="22" t="s">
        <v>720</v>
      </c>
      <c r="B51" s="68">
        <f>B7-SUM(B30:B31)</f>
        <v>230000</v>
      </c>
      <c r="C51" s="22" t="s">
        <v>721</v>
      </c>
      <c r="D51" s="22"/>
      <c r="E51" s="22"/>
    </row>
    <row r="52">
      <c r="A52" s="22" t="s">
        <v>722</v>
      </c>
      <c r="B52" s="68">
        <f>(B7/(1-B8)+(B6-B7))/B10</f>
        <v>4916666.667</v>
      </c>
      <c r="C52" s="22" t="s">
        <v>726</v>
      </c>
      <c r="D52" s="22"/>
      <c r="E52" s="22"/>
    </row>
    <row r="53">
      <c r="A53" s="22"/>
      <c r="B53" s="22"/>
      <c r="C53" s="22"/>
      <c r="D53" s="22"/>
      <c r="E53" s="22"/>
    </row>
    <row r="54">
      <c r="A54" s="23" t="s">
        <v>729</v>
      </c>
      <c r="B54" s="23" t="s">
        <v>730</v>
      </c>
      <c r="C54" s="23" t="s">
        <v>731</v>
      </c>
      <c r="D54" s="23" t="s">
        <v>84</v>
      </c>
      <c r="E54" s="23"/>
    </row>
    <row r="55">
      <c r="A55" s="22" t="s">
        <v>732</v>
      </c>
      <c r="B55" s="22">
        <v>0.0</v>
      </c>
      <c r="C55" s="22" t="s">
        <v>733</v>
      </c>
      <c r="D55" s="22" t="s">
        <v>734</v>
      </c>
      <c r="E55" s="22"/>
    </row>
    <row r="56">
      <c r="A56" s="22" t="s">
        <v>735</v>
      </c>
      <c r="B56" s="22">
        <v>0.0</v>
      </c>
      <c r="C56" s="22" t="s">
        <v>736</v>
      </c>
      <c r="D56" s="22" t="s">
        <v>737</v>
      </c>
      <c r="E56" s="22"/>
    </row>
    <row r="57">
      <c r="A57" s="22" t="s">
        <v>738</v>
      </c>
      <c r="B57" s="22">
        <v>4.0</v>
      </c>
      <c r="C57" s="22" t="s">
        <v>740</v>
      </c>
      <c r="D57" s="22" t="s">
        <v>741</v>
      </c>
      <c r="E57" s="22"/>
    </row>
    <row r="58">
      <c r="A58" s="22" t="s">
        <v>743</v>
      </c>
      <c r="B58" s="22">
        <v>5.0</v>
      </c>
      <c r="C58" s="22" t="s">
        <v>745</v>
      </c>
      <c r="D58" s="22" t="s">
        <v>746</v>
      </c>
      <c r="E58" s="22"/>
    </row>
    <row r="59">
      <c r="A59" s="22" t="s">
        <v>747</v>
      </c>
      <c r="B59" s="22" t="s">
        <v>748</v>
      </c>
      <c r="C59" s="22" t="s">
        <v>749</v>
      </c>
      <c r="D59" s="22" t="s">
        <v>104</v>
      </c>
      <c r="E59" s="22"/>
    </row>
    <row r="60">
      <c r="A60" s="22" t="s">
        <v>751</v>
      </c>
      <c r="B60" s="22" t="s">
        <v>753</v>
      </c>
      <c r="C60" s="22" t="s">
        <v>754</v>
      </c>
      <c r="D60" s="22" t="s">
        <v>104</v>
      </c>
      <c r="E60" s="22"/>
    </row>
    <row r="61">
      <c r="A61" s="22" t="s">
        <v>755</v>
      </c>
      <c r="B61" s="22" t="s">
        <v>756</v>
      </c>
      <c r="C61" s="33" t="s">
        <v>757</v>
      </c>
      <c r="D61" s="22" t="s">
        <v>104</v>
      </c>
      <c r="E61" s="22"/>
    </row>
    <row r="62">
      <c r="A62" s="22" t="s">
        <v>758</v>
      </c>
      <c r="B62" s="22" t="s">
        <v>759</v>
      </c>
      <c r="C62" s="22" t="s">
        <v>761</v>
      </c>
      <c r="D62" s="22" t="s">
        <v>104</v>
      </c>
      <c r="E62" s="22"/>
    </row>
    <row r="63">
      <c r="A63" s="22"/>
      <c r="B63" s="22"/>
      <c r="C63" s="22"/>
      <c r="D63" s="22"/>
      <c r="E63" s="22"/>
    </row>
    <row r="64">
      <c r="A64" s="23" t="s">
        <v>763</v>
      </c>
    </row>
    <row r="65">
      <c r="A65" s="22" t="s">
        <v>765</v>
      </c>
      <c r="B65" s="22" t="s">
        <v>767</v>
      </c>
    </row>
    <row r="66">
      <c r="A66" s="22" t="s">
        <v>769</v>
      </c>
      <c r="B66" s="22" t="s">
        <v>770</v>
      </c>
    </row>
    <row r="67">
      <c r="A67" s="22" t="s">
        <v>771</v>
      </c>
      <c r="B67" s="22" t="s">
        <v>772</v>
      </c>
    </row>
    <row r="68">
      <c r="A68" s="22" t="s">
        <v>773</v>
      </c>
      <c r="B68" s="22" t="s">
        <v>774</v>
      </c>
    </row>
    <row r="69">
      <c r="A69" s="22" t="s">
        <v>775</v>
      </c>
      <c r="B69" s="22" t="s">
        <v>777</v>
      </c>
    </row>
    <row r="70">
      <c r="A70" s="22" t="s">
        <v>779</v>
      </c>
      <c r="B70" s="22" t="s">
        <v>780</v>
      </c>
    </row>
    <row r="71">
      <c r="A71" s="22" t="s">
        <v>781</v>
      </c>
      <c r="B71" s="22" t="s">
        <v>782</v>
      </c>
    </row>
  </sheetData>
  <mergeCells count="12">
    <mergeCell ref="B67:E67"/>
    <mergeCell ref="B68:E68"/>
    <mergeCell ref="B69:E69"/>
    <mergeCell ref="B70:E70"/>
    <mergeCell ref="B71:E71"/>
    <mergeCell ref="A1:E1"/>
    <mergeCell ref="A2:E2"/>
    <mergeCell ref="A3:E3"/>
    <mergeCell ref="A26:E26"/>
    <mergeCell ref="A64:E64"/>
    <mergeCell ref="B65:E65"/>
    <mergeCell ref="B66:E66"/>
  </mergeCells>
  <conditionalFormatting sqref="B50:B51">
    <cfRule type="cellIs" dxfId="1" priority="1" stopIfTrue="1" operator="lessThan">
      <formula>0</formula>
    </cfRule>
  </conditionalFormatting>
  <dataValidations>
    <dataValidation type="list" allowBlank="1" showErrorMessage="1" sqref="B5">
      <formula1>"Opening,Alternative"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6.38"/>
    <col customWidth="1" min="2" max="6" width="21.38"/>
    <col customWidth="1" min="7" max="10" width="35.75"/>
    <col customWidth="1" min="11" max="12" width="23.88"/>
  </cols>
  <sheetData>
    <row r="1">
      <c r="A1" s="22" t="s">
        <v>530</v>
      </c>
    </row>
    <row r="2">
      <c r="A2" s="22" t="s">
        <v>534</v>
      </c>
    </row>
    <row r="3">
      <c r="A3" s="22" t="s">
        <v>538</v>
      </c>
    </row>
    <row r="4">
      <c r="A4" s="23" t="s">
        <v>539</v>
      </c>
      <c r="B4" s="23" t="s">
        <v>542</v>
      </c>
      <c r="C4" s="23" t="s">
        <v>544</v>
      </c>
      <c r="D4" s="23" t="s">
        <v>547</v>
      </c>
      <c r="E4" s="23" t="s">
        <v>550</v>
      </c>
      <c r="F4" s="23" t="s">
        <v>552</v>
      </c>
      <c r="G4" s="23" t="s">
        <v>229</v>
      </c>
      <c r="H4" s="23" t="s">
        <v>553</v>
      </c>
      <c r="I4" s="23" t="s">
        <v>554</v>
      </c>
      <c r="J4" s="23" t="s">
        <v>555</v>
      </c>
      <c r="K4" s="23" t="s">
        <v>557</v>
      </c>
      <c r="L4" s="23" t="s">
        <v>559</v>
      </c>
    </row>
    <row r="5">
      <c r="A5" s="33" t="s">
        <v>561</v>
      </c>
      <c r="B5" s="70">
        <v>20000.0</v>
      </c>
      <c r="C5" s="70">
        <v>13000.0</v>
      </c>
      <c r="D5" s="70">
        <v>0.0</v>
      </c>
      <c r="E5" s="71" t="s">
        <v>565</v>
      </c>
      <c r="F5" s="70"/>
      <c r="G5" s="71" t="s">
        <v>569</v>
      </c>
      <c r="H5" s="71"/>
      <c r="I5" s="71" t="s">
        <v>570</v>
      </c>
      <c r="J5" s="72" t="s">
        <v>571</v>
      </c>
      <c r="K5" s="60">
        <f t="shared" ref="K5:K14" si="1">IF(AND(D5&gt;0,ISNUMBER(F5),F5&gt;0,H5&lt;&gt;""),MIN(C5,D5),0)</f>
        <v>0</v>
      </c>
      <c r="L5" s="73">
        <f t="shared" ref="L5:L14" si="2">IF(K5&gt;0,K5/F5,0)</f>
        <v>0</v>
      </c>
    </row>
    <row r="6">
      <c r="A6" s="33" t="s">
        <v>594</v>
      </c>
      <c r="B6" s="70">
        <v>50000.0</v>
      </c>
      <c r="C6" s="70">
        <v>0.0</v>
      </c>
      <c r="D6" s="70">
        <v>0.0</v>
      </c>
      <c r="E6" s="71" t="s">
        <v>565</v>
      </c>
      <c r="F6" s="70"/>
      <c r="G6" s="71" t="s">
        <v>600</v>
      </c>
      <c r="H6" s="71"/>
      <c r="I6" s="71" t="s">
        <v>604</v>
      </c>
      <c r="J6" s="72" t="s">
        <v>571</v>
      </c>
      <c r="K6" s="60">
        <f t="shared" si="1"/>
        <v>0</v>
      </c>
      <c r="L6" s="73">
        <f t="shared" si="2"/>
        <v>0</v>
      </c>
    </row>
    <row r="7">
      <c r="A7" s="22"/>
      <c r="B7" s="70"/>
      <c r="C7" s="70"/>
      <c r="D7" s="70"/>
      <c r="E7" s="71"/>
      <c r="F7" s="70"/>
      <c r="G7" s="71"/>
      <c r="H7" s="71"/>
      <c r="I7" s="71"/>
      <c r="J7" s="71"/>
      <c r="K7" s="60">
        <f t="shared" si="1"/>
        <v>0</v>
      </c>
      <c r="L7" s="73">
        <f t="shared" si="2"/>
        <v>0</v>
      </c>
    </row>
    <row r="8">
      <c r="A8" s="22"/>
      <c r="B8" s="70"/>
      <c r="C8" s="70"/>
      <c r="D8" s="70"/>
      <c r="E8" s="71"/>
      <c r="F8" s="70"/>
      <c r="G8" s="71"/>
      <c r="H8" s="71"/>
      <c r="I8" s="71"/>
      <c r="J8" s="71"/>
      <c r="K8" s="60">
        <f t="shared" si="1"/>
        <v>0</v>
      </c>
      <c r="L8" s="73">
        <f t="shared" si="2"/>
        <v>0</v>
      </c>
    </row>
    <row r="9">
      <c r="A9" s="22"/>
      <c r="B9" s="70"/>
      <c r="C9" s="70"/>
      <c r="D9" s="70"/>
      <c r="E9" s="71"/>
      <c r="F9" s="70"/>
      <c r="G9" s="71"/>
      <c r="H9" s="71"/>
      <c r="I9" s="71"/>
      <c r="J9" s="71"/>
      <c r="K9" s="60">
        <f t="shared" si="1"/>
        <v>0</v>
      </c>
      <c r="L9" s="73">
        <f t="shared" si="2"/>
        <v>0</v>
      </c>
    </row>
    <row r="10">
      <c r="A10" s="22"/>
      <c r="B10" s="70"/>
      <c r="C10" s="70"/>
      <c r="D10" s="70"/>
      <c r="E10" s="71"/>
      <c r="F10" s="70"/>
      <c r="G10" s="71"/>
      <c r="H10" s="71"/>
      <c r="I10" s="71"/>
      <c r="J10" s="71"/>
      <c r="K10" s="60">
        <f t="shared" si="1"/>
        <v>0</v>
      </c>
      <c r="L10" s="73">
        <f t="shared" si="2"/>
        <v>0</v>
      </c>
    </row>
    <row r="11">
      <c r="A11" s="22"/>
      <c r="B11" s="70"/>
      <c r="C11" s="70"/>
      <c r="D11" s="70"/>
      <c r="E11" s="71"/>
      <c r="F11" s="70"/>
      <c r="G11" s="71"/>
      <c r="H11" s="71"/>
      <c r="I11" s="71"/>
      <c r="J11" s="71"/>
      <c r="K11" s="60">
        <f t="shared" si="1"/>
        <v>0</v>
      </c>
      <c r="L11" s="73">
        <f t="shared" si="2"/>
        <v>0</v>
      </c>
    </row>
    <row r="12">
      <c r="A12" s="22"/>
      <c r="B12" s="70"/>
      <c r="C12" s="70"/>
      <c r="D12" s="70"/>
      <c r="E12" s="71"/>
      <c r="F12" s="70"/>
      <c r="G12" s="71"/>
      <c r="H12" s="71"/>
      <c r="I12" s="71"/>
      <c r="J12" s="71"/>
      <c r="K12" s="60">
        <f t="shared" si="1"/>
        <v>0</v>
      </c>
      <c r="L12" s="73">
        <f t="shared" si="2"/>
        <v>0</v>
      </c>
    </row>
    <row r="13">
      <c r="A13" s="22"/>
      <c r="B13" s="70"/>
      <c r="C13" s="70"/>
      <c r="D13" s="70"/>
      <c r="E13" s="71"/>
      <c r="F13" s="70"/>
      <c r="G13" s="71"/>
      <c r="H13" s="71"/>
      <c r="I13" s="71"/>
      <c r="J13" s="71"/>
      <c r="K13" s="60">
        <f t="shared" si="1"/>
        <v>0</v>
      </c>
      <c r="L13" s="73">
        <f t="shared" si="2"/>
        <v>0</v>
      </c>
    </row>
    <row r="14">
      <c r="A14" s="22"/>
      <c r="B14" s="70"/>
      <c r="C14" s="70"/>
      <c r="D14" s="70"/>
      <c r="E14" s="71"/>
      <c r="F14" s="70"/>
      <c r="G14" s="71"/>
      <c r="H14" s="71"/>
      <c r="I14" s="71"/>
      <c r="J14" s="71"/>
      <c r="K14" s="60">
        <f t="shared" si="1"/>
        <v>0</v>
      </c>
      <c r="L14" s="73">
        <f t="shared" si="2"/>
        <v>0</v>
      </c>
    </row>
    <row r="15">
      <c r="A15" s="22"/>
      <c r="B15" s="60"/>
      <c r="C15" s="60"/>
      <c r="D15" s="60"/>
      <c r="E15" s="22"/>
      <c r="F15" s="60"/>
      <c r="G15" s="22"/>
      <c r="H15" s="22"/>
      <c r="I15" s="22"/>
      <c r="J15" s="22"/>
      <c r="K15" s="60"/>
      <c r="L15" s="73"/>
    </row>
    <row r="16">
      <c r="A16" s="23" t="s">
        <v>627</v>
      </c>
      <c r="B16" s="61">
        <f t="shared" ref="B16:D16" si="3">SUM(B5:B14)</f>
        <v>70000</v>
      </c>
      <c r="C16" s="61">
        <f t="shared" si="3"/>
        <v>13000</v>
      </c>
      <c r="D16" s="61">
        <f t="shared" si="3"/>
        <v>0</v>
      </c>
      <c r="E16" s="23"/>
      <c r="F16" s="61"/>
      <c r="G16" s="23"/>
      <c r="H16" s="23"/>
      <c r="I16" s="23"/>
      <c r="J16" s="23"/>
      <c r="K16" s="61">
        <f t="shared" ref="K16:L16" si="4">SUM(K5:K14)</f>
        <v>0</v>
      </c>
      <c r="L16" s="75">
        <f t="shared" si="4"/>
        <v>0</v>
      </c>
    </row>
    <row r="17">
      <c r="A17" s="22" t="s">
        <v>636</v>
      </c>
      <c r="B17" s="60">
        <f>B16-C16</f>
        <v>57000</v>
      </c>
      <c r="C17" s="33" t="s">
        <v>645</v>
      </c>
      <c r="D17" s="22"/>
    </row>
    <row r="18">
      <c r="A18" s="22" t="s">
        <v>649</v>
      </c>
      <c r="B18" s="22" t="s">
        <v>650</v>
      </c>
    </row>
    <row r="19">
      <c r="A19" s="22" t="s">
        <v>653</v>
      </c>
      <c r="B19" s="22" t="s">
        <v>655</v>
      </c>
    </row>
    <row r="20">
      <c r="A20" s="22" t="s">
        <v>658</v>
      </c>
      <c r="B20" s="22" t="s">
        <v>660</v>
      </c>
    </row>
    <row r="21">
      <c r="A21" s="22" t="s">
        <v>661</v>
      </c>
      <c r="B21" s="22" t="s">
        <v>665</v>
      </c>
    </row>
    <row r="22">
      <c r="A22" s="22" t="s">
        <v>669</v>
      </c>
      <c r="B22" s="22" t="s">
        <v>672</v>
      </c>
    </row>
    <row r="23">
      <c r="A23" s="22" t="s">
        <v>677</v>
      </c>
      <c r="B23" s="22" t="s">
        <v>679</v>
      </c>
    </row>
    <row r="24">
      <c r="A24" s="22" t="s">
        <v>682</v>
      </c>
      <c r="B24" s="22" t="s">
        <v>684</v>
      </c>
    </row>
    <row r="25">
      <c r="A25" s="33" t="s">
        <v>688</v>
      </c>
      <c r="B25" s="60">
        <f>B5</f>
        <v>20000</v>
      </c>
      <c r="C25" s="60"/>
      <c r="D25" s="60"/>
      <c r="E25" s="22"/>
      <c r="F25" s="22"/>
      <c r="G25" s="22"/>
      <c r="H25" s="22"/>
      <c r="I25" s="22"/>
      <c r="J25" s="22"/>
      <c r="K25" s="22"/>
      <c r="L25" s="22"/>
    </row>
    <row r="26">
      <c r="A26" s="33" t="s">
        <v>707</v>
      </c>
      <c r="B26" s="60">
        <f>C5</f>
        <v>13000</v>
      </c>
      <c r="C26" s="60"/>
      <c r="D26" s="60"/>
      <c r="E26" s="22"/>
      <c r="F26" s="22"/>
      <c r="G26" s="22"/>
      <c r="H26" s="22"/>
      <c r="I26" s="22"/>
      <c r="J26" s="22"/>
      <c r="K26" s="22"/>
      <c r="L26" s="22"/>
    </row>
    <row r="27">
      <c r="A27" s="33" t="s">
        <v>715</v>
      </c>
      <c r="B27" s="60">
        <f>B5-C5</f>
        <v>7000</v>
      </c>
      <c r="C27" s="60"/>
      <c r="D27" s="60"/>
      <c r="E27" s="22"/>
      <c r="F27" s="22"/>
      <c r="G27" s="22"/>
      <c r="H27" s="22"/>
      <c r="I27" s="22"/>
      <c r="J27" s="22"/>
      <c r="K27" s="22"/>
      <c r="L27" s="22"/>
    </row>
  </sheetData>
  <autoFilter ref="$A$4:$L$14"/>
  <mergeCells count="11">
    <mergeCell ref="B21:L21"/>
    <mergeCell ref="B22:L22"/>
    <mergeCell ref="B23:L23"/>
    <mergeCell ref="B24:L24"/>
    <mergeCell ref="A1:L1"/>
    <mergeCell ref="A2:L2"/>
    <mergeCell ref="A3:L3"/>
    <mergeCell ref="D17:L17"/>
    <mergeCell ref="B18:L18"/>
    <mergeCell ref="B19:L19"/>
    <mergeCell ref="B20:L20"/>
  </mergeCells>
  <drawing r:id="rId1"/>
</worksheet>
</file>