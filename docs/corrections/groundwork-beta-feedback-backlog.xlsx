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ummary" sheetId="2" state="visible" r:id="rId4"/>
    <sheet name="Fla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<sst xmlns="http://schemas.openxmlformats.org/spreadsheetml/2006/main" count="380" uniqueCount="196">
  <si>
    <t xml:space="preserve">ID</t>
  </si>
  <si>
    <t xml:space="preserve">Item</t>
  </si>
  <si>
    <t xml:space="preserve">Type</t>
  </si>
  <si>
    <t xml:space="preserve">Area</t>
  </si>
  <si>
    <t xml:space="preserve">Priority</t>
  </si>
  <si>
    <t xml:space="preserve">Est. (days)</t>
  </si>
  <si>
    <t xml:space="preserve">Week</t>
  </si>
  <si>
    <t xml:space="preserve">Owner</t>
  </si>
  <si>
    <t xml:space="preserve">Blocked by</t>
  </si>
  <si>
    <t xml:space="preserve">Status</t>
  </si>
  <si>
    <t xml:space="preserve">Notes</t>
  </si>
  <si>
    <t xml:space="preserve">B1</t>
  </si>
  <si>
    <t xml:space="preserve">Admin view renders for non-admin users</t>
  </si>
  <si>
    <t xml:space="preserve">Bug</t>
  </si>
  <si>
    <t xml:space="preserve">Dashboard / Auth</t>
  </si>
  <si>
    <t xml:space="preserve">P0</t>
  </si>
  <si>
    <t xml:space="preserve">Week 1</t>
  </si>
  <si>
    <t xml:space="preserve">Favour</t>
  </si>
  <si>
    <t xml:space="preserve">Not started</t>
  </si>
  <si>
    <t xml:space="preserve">Access-control defect - verify RLS, not just the render path</t>
  </si>
  <si>
    <t xml:space="preserve">B2</t>
  </si>
  <si>
    <t xml:space="preserve">Professional fees calculated at 0.1% instead of 10%</t>
  </si>
  <si>
    <t xml:space="preserve">Budget engine</t>
  </si>
  <si>
    <t xml:space="preserve">Vanessa alignment (final %)</t>
  </si>
  <si>
    <t xml:space="preserve">Ship as a configurable rate in app_config</t>
  </si>
  <si>
    <t xml:space="preserve">B3</t>
  </si>
  <si>
    <t xml:space="preserve">Password reset behaves as auto-login, not a reset</t>
  </si>
  <si>
    <t xml:space="preserve">Auth</t>
  </si>
  <si>
    <t xml:space="preserve">Token-based reset with expiry and single use</t>
  </si>
  <si>
    <t xml:space="preserve">B4</t>
  </si>
  <si>
    <t xml:space="preserve">Payment recording in a stage redirects to main Payments page</t>
  </si>
  <si>
    <t xml:space="preserve">Payments</t>
  </si>
  <si>
    <t xml:space="preserve">P1</t>
  </si>
  <si>
    <t xml:space="preserve">Redirect fix only; full in-stage flow is F10</t>
  </si>
  <si>
    <t xml:space="preserve">B5</t>
  </si>
  <si>
    <t xml:space="preserve">Certificate emails send from a personal address</t>
  </si>
  <si>
    <t xml:space="preserve">Notifications</t>
  </si>
  <si>
    <t xml:space="preserve">Verified Resend sender</t>
  </si>
  <si>
    <t xml:space="preserve">Tied to the infrastructure migration already flagged red</t>
  </si>
  <si>
    <t xml:space="preserve">B6</t>
  </si>
  <si>
    <t xml:space="preserve">Invitation email language ignores account language</t>
  </si>
  <si>
    <t xml:space="preserve">Notifications / i18n</t>
  </si>
  <si>
    <t xml:space="preserve">Resolve locale from recipient account, not sender session</t>
  </si>
  <si>
    <t xml:space="preserve">B7</t>
  </si>
  <si>
    <t xml:space="preserve">Help page email link broken; hello@ address invalid</t>
  </si>
  <si>
    <t xml:space="preserve">Support</t>
  </si>
  <si>
    <t xml:space="preserve">B8</t>
  </si>
  <si>
    <t xml:space="preserve">Support tickets do not reliably notify admin</t>
  </si>
  <si>
    <t xml:space="preserve">Week 3</t>
  </si>
  <si>
    <t xml:space="preserve">Notification is the easy half - the 24h window needs a named owner</t>
  </si>
  <si>
    <t xml:space="preserve">B9</t>
  </si>
  <si>
    <t xml:space="preserve">Teams screen pricing display incorrect</t>
  </si>
  <si>
    <t xml:space="preserve">Billing UI</t>
  </si>
  <si>
    <t xml:space="preserve">P2</t>
  </si>
  <si>
    <t xml:space="preserve">B10</t>
  </si>
  <si>
    <t xml:space="preserve">Default 196-day timeline rejected as unrealistic</t>
  </si>
  <si>
    <t xml:space="preserve">Timeline</t>
  </si>
  <si>
    <t xml:space="preserve">Week 4</t>
  </si>
  <si>
    <t xml:space="preserve">Vanessa alignment</t>
  </si>
  <si>
    <t xml:space="preserve">Blocked</t>
  </si>
  <si>
    <t xml:space="preserve">Estimate is implementation only, once the rule exists</t>
  </si>
  <si>
    <t xml:space="preserve">F1</t>
  </si>
  <si>
    <t xml:space="preserve">Password strength indicator and complexity enforcement</t>
  </si>
  <si>
    <t xml:space="preserve">Feature</t>
  </si>
  <si>
    <t xml:space="preserve">F2</t>
  </si>
  <si>
    <t xml:space="preserve">Two-factor authentication</t>
  </si>
  <si>
    <t xml:space="preserve">Enrolment, login challenge, recovery codes. TOTP over SMS - see Flags</t>
  </si>
  <si>
    <t xml:space="preserve">F3</t>
  </si>
  <si>
    <t xml:space="preserve">Project creation branches on new vs ongoing build</t>
  </si>
  <si>
    <t xml:space="preserve">Creation</t>
  </si>
  <si>
    <t xml:space="preserve">Week 2</t>
  </si>
  <si>
    <t xml:space="preserve">F4</t>
  </si>
  <si>
    <t xml:space="preserve">Upload existing plans / BoQ on the ongoing-build path</t>
  </si>
  <si>
    <t xml:space="preserve">Storage and review state only; no document parsing in v1</t>
  </si>
  <si>
    <t xml:space="preserve">F5</t>
  </si>
  <si>
    <t xml:space="preserve">Slide-based step UI for floor details</t>
  </si>
  <si>
    <t xml:space="preserve">Must make skipping a floor impossible</t>
  </si>
  <si>
    <t xml:space="preserve">F6</t>
  </si>
  <si>
    <t xml:space="preserve">Collect phone and home address before plan selection</t>
  </si>
  <si>
    <t xml:space="preserve">Site location stays out - handled manually at go-live</t>
  </si>
  <si>
    <t xml:space="preserve">F7</t>
  </si>
  <si>
    <t xml:space="preserve">Default finishing to Standard</t>
  </si>
  <si>
    <t xml:space="preserve">Creation / Budget</t>
  </si>
  <si>
    <t xml:space="preserve">Engine keeps 1.45/1.70 multipliers; not user-selectable at creation</t>
  </si>
  <si>
    <t xml:space="preserve">F8</t>
  </si>
  <si>
    <t xml:space="preserve">Declutter project dashboard</t>
  </si>
  <si>
    <t xml:space="preserve">Dashboard</t>
  </si>
  <si>
    <t xml:space="preserve">Remove payment status, stage progress, predicted timeline; keep cost allocation</t>
  </si>
  <si>
    <t xml:space="preserve">F9</t>
  </si>
  <si>
    <t xml:space="preserve">Client dashboard cleanup</t>
  </si>
  <si>
    <t xml:space="preserve">Philip: cost-allocation conflict</t>
  </si>
  <si>
    <t xml:space="preserve">Own projects only; remove upload-evidence</t>
  </si>
  <si>
    <t xml:space="preserve">F10</t>
  </si>
  <si>
    <t xml:space="preserve">Record payments inside the stage interface</t>
  </si>
  <si>
    <t xml:space="preserve">F11</t>
  </si>
  <si>
    <t xml:space="preserve">Replace ID upload with payment-name matching</t>
  </si>
  <si>
    <t xml:space="preserve">Verification</t>
  </si>
  <si>
    <t xml:space="preserve">SwyChr name-return confirmation</t>
  </si>
  <si>
    <t xml:space="preserve">Keep the ID path built but dormant, triggered on flag</t>
  </si>
  <si>
    <t xml:space="preserve">F12</t>
  </si>
  <si>
    <t xml:space="preserve">Restrict certificates to Jalla Verify tier</t>
  </si>
  <si>
    <t xml:space="preserve">Certificates</t>
  </si>
  <si>
    <t xml:space="preserve">Philip: already-issued certificates</t>
  </si>
  <si>
    <t xml:space="preserve">F13</t>
  </si>
  <si>
    <t xml:space="preserve">Rename the Danger section in account settings</t>
  </si>
  <si>
    <t xml:space="preserve">Settings</t>
  </si>
  <si>
    <t xml:space="preserve">P3</t>
  </si>
  <si>
    <t xml:space="preserve">Suggest 'Close account'</t>
  </si>
  <si>
    <t xml:space="preserve">F14</t>
  </si>
  <si>
    <t xml:space="preserve">Admin to on-ground verifier communication for stage approvals</t>
  </si>
  <si>
    <t xml:space="preserve">Admin</t>
  </si>
  <si>
    <t xml:space="preserve">Week 5</t>
  </si>
  <si>
    <t xml:space="preserve">Phase 1 of the comms build - what the Jalla Verify promise depends on</t>
  </si>
  <si>
    <t xml:space="preserve">F15</t>
  </si>
  <si>
    <t xml:space="preserve">In-platform communication replacing WhatsApp, incl. video</t>
  </si>
  <si>
    <t xml:space="preserve">Comms</t>
  </si>
  <si>
    <t xml:space="preserve">Month 2-3</t>
  </si>
  <si>
    <t xml:space="preserve">F16</t>
  </si>
  <si>
    <t xml:space="preserve">Payment reporting and bookkeeping integrated with the BoQ</t>
  </si>
  <si>
    <t xml:space="preserve">Reporting</t>
  </si>
  <si>
    <t xml:space="preserve">F17</t>
  </si>
  <si>
    <t xml:space="preserve">WhatsApp integration</t>
  </si>
  <si>
    <t xml:space="preserve">Philip payment link</t>
  </si>
  <si>
    <t xml:space="preserve">Conflicts with F15 direction - thinnest possible wiring</t>
  </si>
  <si>
    <t xml:space="preserve">F18</t>
  </si>
  <si>
    <t xml:space="preserve">Resources section content</t>
  </si>
  <si>
    <t xml:space="preserve">Resources</t>
  </si>
  <si>
    <t xml:space="preserve">Vanessa source documents</t>
  </si>
  <si>
    <t xml:space="preserve">Explicitly low priority</t>
  </si>
  <si>
    <t xml:space="preserve">F19</t>
  </si>
  <si>
    <t xml:space="preserve">Professional fee and 5% miscellaneous buffer formula</t>
  </si>
  <si>
    <t xml:space="preserve">Philip/Vanessa alignment meeting</t>
  </si>
  <si>
    <t xml:space="preserve">F20</t>
  </si>
  <si>
    <t xml:space="preserve">Roofing feature</t>
  </si>
  <si>
    <t xml:space="preserve">Shelved</t>
  </si>
  <si>
    <t xml:space="preserve">-</t>
  </si>
  <si>
    <t xml:space="preserve">Unscheduled</t>
  </si>
  <si>
    <t xml:space="preserve">Clarity on presentation</t>
  </si>
  <si>
    <t xml:space="preserve">Suspended - users confused by current presentation</t>
  </si>
  <si>
    <t xml:space="preserve">V1</t>
  </si>
  <si>
    <t xml:space="preserve">Provide official resource documents</t>
  </si>
  <si>
    <t xml:space="preserve">Dependency</t>
  </si>
  <si>
    <t xml:space="preserve">Vanessa</t>
  </si>
  <si>
    <t xml:space="preserve">Unblocks F18</t>
  </si>
  <si>
    <t xml:space="preserve">V2</t>
  </si>
  <si>
    <t xml:space="preserve">Define the verification standard process</t>
  </si>
  <si>
    <t xml:space="preserve">Unblocks the Jalla Verify approval workflow and F14</t>
  </si>
  <si>
    <t xml:space="preserve">Groundwork - Beta Feedback Backlog</t>
  </si>
  <si>
    <t xml:space="preserve">Source: Beta Testers Feedback Implementation, 3 Sep 2026 (Philip / Favour). Compiled 4 Sep 2026.</t>
  </si>
  <si>
    <t xml:space="preserve">Assumption</t>
  </si>
  <si>
    <t xml:space="preserve">Dev capacity (days per week, solo)</t>
  </si>
  <si>
    <t xml:space="preserve">Blue = input. Change it and every variance below recalculates.</t>
  </si>
  <si>
    <t xml:space="preserve">By type</t>
  </si>
  <si>
    <t xml:space="preserve">Items</t>
  </si>
  <si>
    <t xml:space="preserve">Dev days</t>
  </si>
  <si>
    <t xml:space="preserve">Total</t>
  </si>
  <si>
    <t xml:space="preserve">By priority</t>
  </si>
  <si>
    <t xml:space="preserve">Schedule</t>
  </si>
  <si>
    <t xml:space="preserve">Capacity</t>
  </si>
  <si>
    <t xml:space="preserve">Variance</t>
  </si>
  <si>
    <t xml:space="preserve">Reality check</t>
  </si>
  <si>
    <t xml:space="preserve">Dev days in Philip's one-week cap</t>
  </si>
  <si>
    <t xml:space="preserve">Dev days in the whole list</t>
  </si>
  <si>
    <t xml:space="preserve">Dev days excluding the two month-scale builds</t>
  </si>
  <si>
    <t xml:space="preserve">Weeks to clear everything except those two builds</t>
  </si>
  <si>
    <t xml:space="preserve">Share of items delivered in week 1</t>
  </si>
  <si>
    <t xml:space="preserve">Share of near-term dev days delivered in week 1 (excl. month-scale)</t>
  </si>
  <si>
    <t xml:space="preserve">Items blocked on someone else</t>
  </si>
  <si>
    <t xml:space="preserve">Week 1 is deliberately the trust block: the role leak, the fee maths, the reset flow, the sender address, 2FA.</t>
  </si>
  <si>
    <t xml:space="preserve">SwyChr / 'Switcher' is not blocked by anything below week 1 and can start in parallel from week 2.</t>
  </si>
  <si>
    <t xml:space="preserve">Estimates are solo-dev days for build + self-test, excluding review cycles and meetings. Source: Favour's own in-call estimates where given (F15, F16), otherwise assigned here.</t>
  </si>
  <si>
    <t xml:space="preserve">Open questions - need Philip's answer</t>
  </si>
  <si>
    <t xml:space="preserve">Four of these block code, not just planning.</t>
  </si>
  <si>
    <t xml:space="preserve">#</t>
  </si>
  <si>
    <t xml:space="preserve">Flag</t>
  </si>
  <si>
    <t xml:space="preserve">Needed by</t>
  </si>
  <si>
    <t xml:space="preserve">Detail</t>
  </si>
  <si>
    <t xml:space="preserve">Cost allocation contradiction</t>
  </si>
  <si>
    <t xml:space="preserve">The decisions log says retain cost allocation on the project dashboard AND remove it from the client dashboard. Reading it as: keep at project level, remove from the client home view. One line of confirmation needed.</t>
  </si>
  <si>
    <t xml:space="preserve">The one-week cap does not fit the list</t>
  </si>
  <si>
    <t xml:space="preserve">Immediate</t>
  </si>
  <si>
    <t xml:space="preserve">~19 dev days outside the month-scale builds; 24 including F14. Either the cap moves or the scope does. The schedule tab is the scope-moves version.</t>
  </si>
  <si>
    <t xml:space="preserve">WhatsApp integration vs replacing WhatsApp</t>
  </si>
  <si>
    <t xml:space="preserve">Paying to integrate a channel we have committed to replacing. Recommend the thinnest possible wiring and no further investment.</t>
  </si>
  <si>
    <t xml:space="preserve">Payment-name matching only verifies card payers</t>
  </si>
  <si>
    <t xml:space="preserve">Mobile money and bank transfer on the SwyChr rails may return no verified account name - and SwyChr is the fund custodian, so its KYC posture sets the ceiling, not ours. Confirm what name SwyChr returns before removing anything.</t>
  </si>
  <si>
    <t xml:space="preserve">Certificates already issued on Self Verify</t>
  </si>
  <si>
    <t xml:space="preserve">Revoke, grandfather, or hide? Revoking is the cleanest incentive and the worst experience.</t>
  </si>
  <si>
    <t xml:space="preserve">2FA channel</t>
  </si>
  <si>
    <t xml:space="preserve">SMS to Nigeria and Cameroon is expensive and unreliable. Recommend TOTP with email fallback.</t>
  </si>
  <si>
    <t xml:space="preserve">Fee change moves every existing quote</t>
  </si>
  <si>
    <t xml:space="preserve">0.1% to 10% plus a 5% buffer shifts displayed totals by ~15% on every project already in the system, beta testers' included. Recalculate or freeze at the quoted figure?</t>
  </si>
  <si>
    <t xml:space="preserve">Timeline logic shape</t>
  </si>
  <si>
    <t xml:space="preserve">Is the new timeline a function of floors/footprint/finishing, or a per-project-type table from Vanessa? Different builds.</t>
  </si>
  <si>
    <t xml:space="preserve">The alignment meeting is the critical path</t>
  </si>
  <si>
    <t xml:space="preserve">Unblocks B2, B10 and F19. If it does not land before day 3 of week 4, those three slip.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</si>
</sst>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0;\(0.00\);\-"/>
    <numFmt numFmtId="168" formatCode="0.0%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B2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2C"/>
        <bgColor rgb="FF333300"/>
      </patternFill>
    </fill>
    <fill>
      <patternFill patternType="solid">
        <fgColor rgb="FFF6D9D5"/>
        <bgColor rgb="FFD9D9D9"/>
      </patternFill>
    </fill>
    <fill>
      <patternFill patternType="solid">
        <fgColor rgb="FFFDF3D8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6D9D5"/>
          <bgColor rgb="FF000000"/>
        </patternFill>
      </fill>
    </dxf>
    <dxf>
      <fill>
        <patternFill patternType="solid">
          <fgColor rgb="FFFDF3D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9D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acklog" displayName="Backlog" ref="A1:K33" headerRowCount="1" totalsRowCount="0" totalsRowShown="0">
  <autoFilter ref="A1:K33"/>
  <tableColumns count="11">
    <tableColumn id="1" name="ID"/>
    <tableColumn id="2" name="Item"/>
    <tableColumn id="3" name="Type"/>
    <tableColumn id="4" name="Area"/>
    <tableColumn id="5" name="Priority"/>
    <tableColumn id="6" name="Est. (days)"/>
    <tableColumn id="7" name="Week"/>
    <tableColumn id="8" name="Owner"/>
    <tableColumn id="9" name="Blocked by"/>
    <tableColumn id="10" name="Status"/>
    <tableColumn id="11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5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2" t="s">
        <v>13</v>
      </c>
      <c r="D2" s="2" t="s">
        <v>14</v>
      </c>
      <c r="E2" s="4" t="s">
        <v>15</v>
      </c>
      <c r="F2" s="5" t="n">
        <v>0.5</v>
      </c>
      <c r="G2" s="2" t="s">
        <v>16</v>
      </c>
      <c r="H2" s="2" t="s">
        <v>17</v>
      </c>
      <c r="I2" s="3"/>
      <c r="J2" s="2" t="s">
        <v>18</v>
      </c>
      <c r="K2" s="3" t="s">
        <v>19</v>
      </c>
    </row>
    <row r="3" customFormat="false" ht="15" hidden="false" customHeight="false" outlineLevel="0" collapsed="false">
      <c r="A3" s="2" t="s">
        <v>20</v>
      </c>
      <c r="B3" s="3" t="s">
        <v>21</v>
      </c>
      <c r="C3" s="2" t="s">
        <v>13</v>
      </c>
      <c r="D3" s="2" t="s">
        <v>22</v>
      </c>
      <c r="E3" s="4" t="s">
        <v>15</v>
      </c>
      <c r="F3" s="5" t="n">
        <v>0.5</v>
      </c>
      <c r="G3" s="2" t="s">
        <v>16</v>
      </c>
      <c r="H3" s="2" t="s">
        <v>17</v>
      </c>
      <c r="I3" s="3" t="s">
        <v>23</v>
      </c>
      <c r="J3" s="2" t="s">
        <v>18</v>
      </c>
      <c r="K3" s="3" t="s">
        <v>24</v>
      </c>
    </row>
    <row r="4" customFormat="false" ht="15" hidden="false" customHeight="false" outlineLevel="0" collapsed="false">
      <c r="A4" s="2" t="s">
        <v>25</v>
      </c>
      <c r="B4" s="3" t="s">
        <v>26</v>
      </c>
      <c r="C4" s="2" t="s">
        <v>13</v>
      </c>
      <c r="D4" s="2" t="s">
        <v>27</v>
      </c>
      <c r="E4" s="4" t="s">
        <v>15</v>
      </c>
      <c r="F4" s="5" t="n">
        <v>0.5</v>
      </c>
      <c r="G4" s="2" t="s">
        <v>16</v>
      </c>
      <c r="H4" s="2" t="s">
        <v>17</v>
      </c>
      <c r="I4" s="3"/>
      <c r="J4" s="2" t="s">
        <v>18</v>
      </c>
      <c r="K4" s="3" t="s">
        <v>28</v>
      </c>
    </row>
    <row r="5" customFormat="false" ht="23.85" hidden="false" customHeight="false" outlineLevel="0" collapsed="false">
      <c r="A5" s="2" t="s">
        <v>29</v>
      </c>
      <c r="B5" s="3" t="s">
        <v>30</v>
      </c>
      <c r="C5" s="2" t="s">
        <v>13</v>
      </c>
      <c r="D5" s="2" t="s">
        <v>31</v>
      </c>
      <c r="E5" s="2" t="s">
        <v>32</v>
      </c>
      <c r="F5" s="5" t="n">
        <v>0.25</v>
      </c>
      <c r="G5" s="2" t="s">
        <v>16</v>
      </c>
      <c r="H5" s="2" t="s">
        <v>17</v>
      </c>
      <c r="I5" s="3"/>
      <c r="J5" s="2" t="s">
        <v>18</v>
      </c>
      <c r="K5" s="3" t="s">
        <v>33</v>
      </c>
    </row>
    <row r="6" customFormat="false" ht="15" hidden="false" customHeight="false" outlineLevel="0" collapsed="false">
      <c r="A6" s="2" t="s">
        <v>34</v>
      </c>
      <c r="B6" s="3" t="s">
        <v>35</v>
      </c>
      <c r="C6" s="2" t="s">
        <v>13</v>
      </c>
      <c r="D6" s="2" t="s">
        <v>36</v>
      </c>
      <c r="E6" s="4" t="s">
        <v>15</v>
      </c>
      <c r="F6" s="5" t="n">
        <v>0.5</v>
      </c>
      <c r="G6" s="2" t="s">
        <v>16</v>
      </c>
      <c r="H6" s="2" t="s">
        <v>17</v>
      </c>
      <c r="I6" s="3" t="s">
        <v>37</v>
      </c>
      <c r="J6" s="2" t="s">
        <v>18</v>
      </c>
      <c r="K6" s="3" t="s">
        <v>38</v>
      </c>
    </row>
    <row r="7" customFormat="false" ht="15" hidden="false" customHeight="false" outlineLevel="0" collapsed="false">
      <c r="A7" s="2" t="s">
        <v>39</v>
      </c>
      <c r="B7" s="3" t="s">
        <v>40</v>
      </c>
      <c r="C7" s="2" t="s">
        <v>13</v>
      </c>
      <c r="D7" s="2" t="s">
        <v>41</v>
      </c>
      <c r="E7" s="2" t="s">
        <v>32</v>
      </c>
      <c r="F7" s="5" t="n">
        <v>0.5</v>
      </c>
      <c r="G7" s="2" t="s">
        <v>16</v>
      </c>
      <c r="H7" s="2" t="s">
        <v>17</v>
      </c>
      <c r="I7" s="3"/>
      <c r="J7" s="2" t="s">
        <v>18</v>
      </c>
      <c r="K7" s="3" t="s">
        <v>42</v>
      </c>
    </row>
    <row r="8" customFormat="false" ht="15" hidden="false" customHeight="false" outlineLevel="0" collapsed="false">
      <c r="A8" s="2" t="s">
        <v>43</v>
      </c>
      <c r="B8" s="3" t="s">
        <v>44</v>
      </c>
      <c r="C8" s="2" t="s">
        <v>13</v>
      </c>
      <c r="D8" s="2" t="s">
        <v>45</v>
      </c>
      <c r="E8" s="2" t="s">
        <v>32</v>
      </c>
      <c r="F8" s="5" t="n">
        <v>0.25</v>
      </c>
      <c r="G8" s="2" t="s">
        <v>16</v>
      </c>
      <c r="H8" s="2" t="s">
        <v>17</v>
      </c>
      <c r="I8" s="3"/>
      <c r="J8" s="2" t="s">
        <v>18</v>
      </c>
      <c r="K8" s="3"/>
    </row>
    <row r="9" customFormat="false" ht="23.85" hidden="false" customHeight="false" outlineLevel="0" collapsed="false">
      <c r="A9" s="2" t="s">
        <v>46</v>
      </c>
      <c r="B9" s="3" t="s">
        <v>47</v>
      </c>
      <c r="C9" s="2" t="s">
        <v>13</v>
      </c>
      <c r="D9" s="2" t="s">
        <v>45</v>
      </c>
      <c r="E9" s="2" t="s">
        <v>32</v>
      </c>
      <c r="F9" s="5" t="n">
        <v>1</v>
      </c>
      <c r="G9" s="2" t="s">
        <v>48</v>
      </c>
      <c r="H9" s="2" t="s">
        <v>17</v>
      </c>
      <c r="I9" s="3"/>
      <c r="J9" s="2" t="s">
        <v>18</v>
      </c>
      <c r="K9" s="3" t="s">
        <v>49</v>
      </c>
    </row>
    <row r="10" customFormat="false" ht="15" hidden="false" customHeight="false" outlineLevel="0" collapsed="false">
      <c r="A10" s="2" t="s">
        <v>50</v>
      </c>
      <c r="B10" s="3" t="s">
        <v>51</v>
      </c>
      <c r="C10" s="2" t="s">
        <v>13</v>
      </c>
      <c r="D10" s="2" t="s">
        <v>52</v>
      </c>
      <c r="E10" s="2" t="s">
        <v>53</v>
      </c>
      <c r="F10" s="5" t="n">
        <v>0.25</v>
      </c>
      <c r="G10" s="2" t="s">
        <v>16</v>
      </c>
      <c r="H10" s="2" t="s">
        <v>17</v>
      </c>
      <c r="I10" s="3"/>
      <c r="J10" s="2" t="s">
        <v>18</v>
      </c>
      <c r="K10" s="3"/>
    </row>
    <row r="11" customFormat="false" ht="15" hidden="false" customHeight="false" outlineLevel="0" collapsed="false">
      <c r="A11" s="2" t="s">
        <v>54</v>
      </c>
      <c r="B11" s="3" t="s">
        <v>55</v>
      </c>
      <c r="C11" s="2" t="s">
        <v>13</v>
      </c>
      <c r="D11" s="2" t="s">
        <v>56</v>
      </c>
      <c r="E11" s="2" t="s">
        <v>32</v>
      </c>
      <c r="F11" s="5" t="n">
        <v>0.5</v>
      </c>
      <c r="G11" s="2" t="s">
        <v>57</v>
      </c>
      <c r="H11" s="2" t="s">
        <v>17</v>
      </c>
      <c r="I11" s="3" t="s">
        <v>58</v>
      </c>
      <c r="J11" s="6" t="s">
        <v>59</v>
      </c>
      <c r="K11" s="3" t="s">
        <v>60</v>
      </c>
    </row>
    <row r="12" customFormat="false" ht="15" hidden="false" customHeight="false" outlineLevel="0" collapsed="false">
      <c r="A12" s="2" t="s">
        <v>61</v>
      </c>
      <c r="B12" s="3" t="s">
        <v>62</v>
      </c>
      <c r="C12" s="2" t="s">
        <v>63</v>
      </c>
      <c r="D12" s="2" t="s">
        <v>27</v>
      </c>
      <c r="E12" s="4" t="s">
        <v>15</v>
      </c>
      <c r="F12" s="5" t="n">
        <v>0.5</v>
      </c>
      <c r="G12" s="2" t="s">
        <v>16</v>
      </c>
      <c r="H12" s="2" t="s">
        <v>17</v>
      </c>
      <c r="I12" s="3"/>
      <c r="J12" s="2" t="s">
        <v>18</v>
      </c>
      <c r="K12" s="3"/>
    </row>
    <row r="13" customFormat="false" ht="23.85" hidden="false" customHeight="false" outlineLevel="0" collapsed="false">
      <c r="A13" s="2" t="s">
        <v>64</v>
      </c>
      <c r="B13" s="3" t="s">
        <v>65</v>
      </c>
      <c r="C13" s="2" t="s">
        <v>63</v>
      </c>
      <c r="D13" s="2" t="s">
        <v>27</v>
      </c>
      <c r="E13" s="4" t="s">
        <v>15</v>
      </c>
      <c r="F13" s="5" t="n">
        <v>1.5</v>
      </c>
      <c r="G13" s="2" t="s">
        <v>16</v>
      </c>
      <c r="H13" s="2" t="s">
        <v>17</v>
      </c>
      <c r="I13" s="3"/>
      <c r="J13" s="2" t="s">
        <v>18</v>
      </c>
      <c r="K13" s="3" t="s">
        <v>66</v>
      </c>
    </row>
    <row r="14" customFormat="false" ht="15" hidden="false" customHeight="false" outlineLevel="0" collapsed="false">
      <c r="A14" s="2" t="s">
        <v>67</v>
      </c>
      <c r="B14" s="3" t="s">
        <v>68</v>
      </c>
      <c r="C14" s="2" t="s">
        <v>63</v>
      </c>
      <c r="D14" s="2" t="s">
        <v>69</v>
      </c>
      <c r="E14" s="4" t="s">
        <v>15</v>
      </c>
      <c r="F14" s="5" t="n">
        <v>1.5</v>
      </c>
      <c r="G14" s="2" t="s">
        <v>70</v>
      </c>
      <c r="H14" s="2" t="s">
        <v>17</v>
      </c>
      <c r="I14" s="3"/>
      <c r="J14" s="2" t="s">
        <v>18</v>
      </c>
      <c r="K14" s="3"/>
    </row>
    <row r="15" customFormat="false" ht="15" hidden="false" customHeight="false" outlineLevel="0" collapsed="false">
      <c r="A15" s="2" t="s">
        <v>71</v>
      </c>
      <c r="B15" s="3" t="s">
        <v>72</v>
      </c>
      <c r="C15" s="2" t="s">
        <v>63</v>
      </c>
      <c r="D15" s="2" t="s">
        <v>69</v>
      </c>
      <c r="E15" s="2" t="s">
        <v>32</v>
      </c>
      <c r="F15" s="5" t="n">
        <v>1</v>
      </c>
      <c r="G15" s="2" t="s">
        <v>70</v>
      </c>
      <c r="H15" s="2" t="s">
        <v>17</v>
      </c>
      <c r="I15" s="3"/>
      <c r="J15" s="2" t="s">
        <v>18</v>
      </c>
      <c r="K15" s="3" t="s">
        <v>73</v>
      </c>
    </row>
    <row r="16" customFormat="false" ht="15" hidden="false" customHeight="false" outlineLevel="0" collapsed="false">
      <c r="A16" s="2" t="s">
        <v>74</v>
      </c>
      <c r="B16" s="3" t="s">
        <v>75</v>
      </c>
      <c r="C16" s="2" t="s">
        <v>63</v>
      </c>
      <c r="D16" s="2" t="s">
        <v>69</v>
      </c>
      <c r="E16" s="2" t="s">
        <v>32</v>
      </c>
      <c r="F16" s="5" t="n">
        <v>1.5</v>
      </c>
      <c r="G16" s="2" t="s">
        <v>70</v>
      </c>
      <c r="H16" s="2" t="s">
        <v>17</v>
      </c>
      <c r="I16" s="3"/>
      <c r="J16" s="2" t="s">
        <v>18</v>
      </c>
      <c r="K16" s="3" t="s">
        <v>76</v>
      </c>
    </row>
    <row r="17" customFormat="false" ht="15" hidden="false" customHeight="false" outlineLevel="0" collapsed="false">
      <c r="A17" s="2" t="s">
        <v>77</v>
      </c>
      <c r="B17" s="3" t="s">
        <v>78</v>
      </c>
      <c r="C17" s="2" t="s">
        <v>63</v>
      </c>
      <c r="D17" s="2" t="s">
        <v>69</v>
      </c>
      <c r="E17" s="2" t="s">
        <v>32</v>
      </c>
      <c r="F17" s="5" t="n">
        <v>0.5</v>
      </c>
      <c r="G17" s="2" t="s">
        <v>70</v>
      </c>
      <c r="H17" s="2" t="s">
        <v>17</v>
      </c>
      <c r="I17" s="3"/>
      <c r="J17" s="2" t="s">
        <v>18</v>
      </c>
      <c r="K17" s="3" t="s">
        <v>79</v>
      </c>
    </row>
    <row r="18" customFormat="false" ht="23.85" hidden="false" customHeight="false" outlineLevel="0" collapsed="false">
      <c r="A18" s="2" t="s">
        <v>80</v>
      </c>
      <c r="B18" s="3" t="s">
        <v>81</v>
      </c>
      <c r="C18" s="2" t="s">
        <v>63</v>
      </c>
      <c r="D18" s="2" t="s">
        <v>82</v>
      </c>
      <c r="E18" s="2" t="s">
        <v>32</v>
      </c>
      <c r="F18" s="5" t="n">
        <v>0.25</v>
      </c>
      <c r="G18" s="2" t="s">
        <v>70</v>
      </c>
      <c r="H18" s="2" t="s">
        <v>17</v>
      </c>
      <c r="I18" s="3"/>
      <c r="J18" s="2" t="s">
        <v>18</v>
      </c>
      <c r="K18" s="3" t="s">
        <v>83</v>
      </c>
    </row>
    <row r="19" customFormat="false" ht="23.85" hidden="false" customHeight="false" outlineLevel="0" collapsed="false">
      <c r="A19" s="2" t="s">
        <v>84</v>
      </c>
      <c r="B19" s="3" t="s">
        <v>85</v>
      </c>
      <c r="C19" s="2" t="s">
        <v>63</v>
      </c>
      <c r="D19" s="2" t="s">
        <v>86</v>
      </c>
      <c r="E19" s="2" t="s">
        <v>32</v>
      </c>
      <c r="F19" s="5" t="n">
        <v>1</v>
      </c>
      <c r="G19" s="2" t="s">
        <v>48</v>
      </c>
      <c r="H19" s="2" t="s">
        <v>17</v>
      </c>
      <c r="I19" s="3"/>
      <c r="J19" s="2" t="s">
        <v>18</v>
      </c>
      <c r="K19" s="3" t="s">
        <v>87</v>
      </c>
    </row>
    <row r="20" customFormat="false" ht="15" hidden="false" customHeight="false" outlineLevel="0" collapsed="false">
      <c r="A20" s="2" t="s">
        <v>88</v>
      </c>
      <c r="B20" s="3" t="s">
        <v>89</v>
      </c>
      <c r="C20" s="2" t="s">
        <v>63</v>
      </c>
      <c r="D20" s="2" t="s">
        <v>86</v>
      </c>
      <c r="E20" s="2" t="s">
        <v>32</v>
      </c>
      <c r="F20" s="5" t="n">
        <v>0.5</v>
      </c>
      <c r="G20" s="2" t="s">
        <v>48</v>
      </c>
      <c r="H20" s="2" t="s">
        <v>17</v>
      </c>
      <c r="I20" s="3" t="s">
        <v>90</v>
      </c>
      <c r="J20" s="6" t="s">
        <v>59</v>
      </c>
      <c r="K20" s="3" t="s">
        <v>91</v>
      </c>
    </row>
    <row r="21" customFormat="false" ht="15" hidden="false" customHeight="false" outlineLevel="0" collapsed="false">
      <c r="A21" s="2" t="s">
        <v>92</v>
      </c>
      <c r="B21" s="3" t="s">
        <v>93</v>
      </c>
      <c r="C21" s="2" t="s">
        <v>63</v>
      </c>
      <c r="D21" s="2" t="s">
        <v>31</v>
      </c>
      <c r="E21" s="4" t="s">
        <v>15</v>
      </c>
      <c r="F21" s="5" t="n">
        <v>1.5</v>
      </c>
      <c r="G21" s="2" t="s">
        <v>48</v>
      </c>
      <c r="H21" s="2" t="s">
        <v>17</v>
      </c>
      <c r="I21" s="3"/>
      <c r="J21" s="2" t="s">
        <v>18</v>
      </c>
      <c r="K21" s="3"/>
    </row>
    <row r="22" customFormat="false" ht="15" hidden="false" customHeight="false" outlineLevel="0" collapsed="false">
      <c r="A22" s="2" t="s">
        <v>94</v>
      </c>
      <c r="B22" s="3" t="s">
        <v>95</v>
      </c>
      <c r="C22" s="2" t="s">
        <v>63</v>
      </c>
      <c r="D22" s="2" t="s">
        <v>96</v>
      </c>
      <c r="E22" s="2" t="s">
        <v>32</v>
      </c>
      <c r="F22" s="5" t="n">
        <v>1</v>
      </c>
      <c r="G22" s="2" t="s">
        <v>48</v>
      </c>
      <c r="H22" s="2" t="s">
        <v>17</v>
      </c>
      <c r="I22" s="3" t="s">
        <v>97</v>
      </c>
      <c r="J22" s="6" t="s">
        <v>59</v>
      </c>
      <c r="K22" s="3" t="s">
        <v>98</v>
      </c>
    </row>
    <row r="23" customFormat="false" ht="15" hidden="false" customHeight="false" outlineLevel="0" collapsed="false">
      <c r="A23" s="2" t="s">
        <v>99</v>
      </c>
      <c r="B23" s="3" t="s">
        <v>100</v>
      </c>
      <c r="C23" s="2" t="s">
        <v>63</v>
      </c>
      <c r="D23" s="2" t="s">
        <v>101</v>
      </c>
      <c r="E23" s="2" t="s">
        <v>32</v>
      </c>
      <c r="F23" s="5" t="n">
        <v>0.5</v>
      </c>
      <c r="G23" s="2" t="s">
        <v>57</v>
      </c>
      <c r="H23" s="2" t="s">
        <v>17</v>
      </c>
      <c r="I23" s="3" t="s">
        <v>102</v>
      </c>
      <c r="J23" s="6" t="s">
        <v>59</v>
      </c>
      <c r="K23" s="3"/>
    </row>
    <row r="24" customFormat="false" ht="15" hidden="false" customHeight="false" outlineLevel="0" collapsed="false">
      <c r="A24" s="2" t="s">
        <v>103</v>
      </c>
      <c r="B24" s="3" t="s">
        <v>104</v>
      </c>
      <c r="C24" s="2" t="s">
        <v>63</v>
      </c>
      <c r="D24" s="2" t="s">
        <v>105</v>
      </c>
      <c r="E24" s="2" t="s">
        <v>106</v>
      </c>
      <c r="F24" s="5" t="n">
        <v>0.1</v>
      </c>
      <c r="G24" s="2" t="s">
        <v>16</v>
      </c>
      <c r="H24" s="2" t="s">
        <v>17</v>
      </c>
      <c r="I24" s="3"/>
      <c r="J24" s="2" t="s">
        <v>18</v>
      </c>
      <c r="K24" s="3" t="s">
        <v>107</v>
      </c>
    </row>
    <row r="25" customFormat="false" ht="23.85" hidden="false" customHeight="false" outlineLevel="0" collapsed="false">
      <c r="A25" s="2" t="s">
        <v>108</v>
      </c>
      <c r="B25" s="3" t="s">
        <v>109</v>
      </c>
      <c r="C25" s="2" t="s">
        <v>63</v>
      </c>
      <c r="D25" s="2" t="s">
        <v>110</v>
      </c>
      <c r="E25" s="2" t="s">
        <v>32</v>
      </c>
      <c r="F25" s="5" t="n">
        <v>5</v>
      </c>
      <c r="G25" s="2" t="s">
        <v>111</v>
      </c>
      <c r="H25" s="2" t="s">
        <v>17</v>
      </c>
      <c r="I25" s="3"/>
      <c r="J25" s="2" t="s">
        <v>18</v>
      </c>
      <c r="K25" s="3" t="s">
        <v>112</v>
      </c>
    </row>
    <row r="26" customFormat="false" ht="23.85" hidden="false" customHeight="false" outlineLevel="0" collapsed="false">
      <c r="A26" s="2" t="s">
        <v>113</v>
      </c>
      <c r="B26" s="3" t="s">
        <v>114</v>
      </c>
      <c r="C26" s="2" t="s">
        <v>63</v>
      </c>
      <c r="D26" s="2" t="s">
        <v>115</v>
      </c>
      <c r="E26" s="2" t="s">
        <v>53</v>
      </c>
      <c r="F26" s="5" t="n">
        <v>20</v>
      </c>
      <c r="G26" s="2" t="s">
        <v>116</v>
      </c>
      <c r="H26" s="2" t="s">
        <v>17</v>
      </c>
      <c r="I26" s="3"/>
      <c r="J26" s="2" t="s">
        <v>18</v>
      </c>
      <c r="K26" s="3"/>
    </row>
    <row r="27" customFormat="false" ht="23.85" hidden="false" customHeight="false" outlineLevel="0" collapsed="false">
      <c r="A27" s="2" t="s">
        <v>117</v>
      </c>
      <c r="B27" s="3" t="s">
        <v>118</v>
      </c>
      <c r="C27" s="2" t="s">
        <v>63</v>
      </c>
      <c r="D27" s="2" t="s">
        <v>119</v>
      </c>
      <c r="E27" s="2" t="s">
        <v>53</v>
      </c>
      <c r="F27" s="5" t="n">
        <v>20</v>
      </c>
      <c r="G27" s="2" t="s">
        <v>116</v>
      </c>
      <c r="H27" s="2" t="s">
        <v>17</v>
      </c>
      <c r="I27" s="3"/>
      <c r="J27" s="2" t="s">
        <v>18</v>
      </c>
      <c r="K27" s="3"/>
    </row>
    <row r="28" customFormat="false" ht="15" hidden="false" customHeight="false" outlineLevel="0" collapsed="false">
      <c r="A28" s="2" t="s">
        <v>120</v>
      </c>
      <c r="B28" s="3" t="s">
        <v>121</v>
      </c>
      <c r="C28" s="2" t="s">
        <v>63</v>
      </c>
      <c r="D28" s="2" t="s">
        <v>115</v>
      </c>
      <c r="E28" s="2" t="s">
        <v>53</v>
      </c>
      <c r="F28" s="5" t="n">
        <v>1</v>
      </c>
      <c r="G28" s="2" t="s">
        <v>57</v>
      </c>
      <c r="H28" s="2" t="s">
        <v>17</v>
      </c>
      <c r="I28" s="3" t="s">
        <v>122</v>
      </c>
      <c r="J28" s="6" t="s">
        <v>59</v>
      </c>
      <c r="K28" s="3" t="s">
        <v>123</v>
      </c>
    </row>
    <row r="29" customFormat="false" ht="15" hidden="false" customHeight="false" outlineLevel="0" collapsed="false">
      <c r="A29" s="2" t="s">
        <v>124</v>
      </c>
      <c r="B29" s="3" t="s">
        <v>125</v>
      </c>
      <c r="C29" s="2" t="s">
        <v>63</v>
      </c>
      <c r="D29" s="2" t="s">
        <v>126</v>
      </c>
      <c r="E29" s="2" t="s">
        <v>106</v>
      </c>
      <c r="F29" s="5" t="n">
        <v>1</v>
      </c>
      <c r="G29" s="2" t="s">
        <v>57</v>
      </c>
      <c r="H29" s="2" t="s">
        <v>17</v>
      </c>
      <c r="I29" s="3" t="s">
        <v>127</v>
      </c>
      <c r="J29" s="6" t="s">
        <v>59</v>
      </c>
      <c r="K29" s="3" t="s">
        <v>128</v>
      </c>
    </row>
    <row r="30" customFormat="false" ht="15" hidden="false" customHeight="false" outlineLevel="0" collapsed="false">
      <c r="A30" s="2" t="s">
        <v>129</v>
      </c>
      <c r="B30" s="3" t="s">
        <v>130</v>
      </c>
      <c r="C30" s="2" t="s">
        <v>63</v>
      </c>
      <c r="D30" s="2" t="s">
        <v>22</v>
      </c>
      <c r="E30" s="4" t="s">
        <v>15</v>
      </c>
      <c r="F30" s="5" t="n">
        <v>1</v>
      </c>
      <c r="G30" s="2" t="s">
        <v>57</v>
      </c>
      <c r="H30" s="2" t="s">
        <v>17</v>
      </c>
      <c r="I30" s="3" t="s">
        <v>131</v>
      </c>
      <c r="J30" s="6" t="s">
        <v>59</v>
      </c>
      <c r="K30" s="3"/>
    </row>
    <row r="31" customFormat="false" ht="15" hidden="false" customHeight="false" outlineLevel="0" collapsed="false">
      <c r="A31" s="2" t="s">
        <v>132</v>
      </c>
      <c r="B31" s="3" t="s">
        <v>133</v>
      </c>
      <c r="C31" s="2" t="s">
        <v>134</v>
      </c>
      <c r="D31" s="2" t="s">
        <v>69</v>
      </c>
      <c r="E31" s="2" t="s">
        <v>135</v>
      </c>
      <c r="F31" s="5" t="n">
        <v>0</v>
      </c>
      <c r="G31" s="2" t="s">
        <v>136</v>
      </c>
      <c r="H31" s="2" t="s">
        <v>17</v>
      </c>
      <c r="I31" s="3" t="s">
        <v>137</v>
      </c>
      <c r="J31" s="2" t="s">
        <v>134</v>
      </c>
      <c r="K31" s="3" t="s">
        <v>138</v>
      </c>
    </row>
    <row r="32" customFormat="false" ht="15" hidden="false" customHeight="false" outlineLevel="0" collapsed="false">
      <c r="A32" s="2" t="s">
        <v>139</v>
      </c>
      <c r="B32" s="3" t="s">
        <v>140</v>
      </c>
      <c r="C32" s="2" t="s">
        <v>141</v>
      </c>
      <c r="D32" s="2" t="s">
        <v>126</v>
      </c>
      <c r="E32" s="2" t="s">
        <v>106</v>
      </c>
      <c r="F32" s="5" t="n">
        <v>0</v>
      </c>
      <c r="G32" s="2" t="s">
        <v>136</v>
      </c>
      <c r="H32" s="2" t="s">
        <v>142</v>
      </c>
      <c r="I32" s="3"/>
      <c r="J32" s="2" t="s">
        <v>18</v>
      </c>
      <c r="K32" s="3" t="s">
        <v>143</v>
      </c>
    </row>
    <row r="33" customFormat="false" ht="15" hidden="false" customHeight="false" outlineLevel="0" collapsed="false">
      <c r="A33" s="2" t="s">
        <v>144</v>
      </c>
      <c r="B33" s="3" t="s">
        <v>145</v>
      </c>
      <c r="C33" s="2" t="s">
        <v>141</v>
      </c>
      <c r="D33" s="2" t="s">
        <v>96</v>
      </c>
      <c r="E33" s="2" t="s">
        <v>32</v>
      </c>
      <c r="F33" s="5" t="n">
        <v>0</v>
      </c>
      <c r="G33" s="2" t="s">
        <v>136</v>
      </c>
      <c r="H33" s="2" t="s">
        <v>142</v>
      </c>
      <c r="I33" s="3"/>
      <c r="J33" s="2" t="s">
        <v>18</v>
      </c>
      <c r="K33" s="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5" min="3" style="0" width="12"/>
  </cols>
  <sheetData>
    <row r="1" customFormat="false" ht="17.35" hidden="false" customHeight="false" outlineLevel="0" collapsed="false">
      <c r="A1" s="7" t="s">
        <v>147</v>
      </c>
    </row>
    <row r="2" customFormat="false" ht="15" hidden="false" customHeight="false" outlineLevel="0" collapsed="false">
      <c r="A2" s="8" t="s">
        <v>148</v>
      </c>
    </row>
    <row r="4" customFormat="false" ht="15" hidden="false" customHeight="false" outlineLevel="0" collapsed="false">
      <c r="A4" s="9" t="s">
        <v>149</v>
      </c>
    </row>
    <row r="5" customFormat="false" ht="15" hidden="false" customHeight="false" outlineLevel="0" collapsed="false">
      <c r="A5" s="10" t="s">
        <v>150</v>
      </c>
      <c r="B5" s="11" t="n">
        <v>5</v>
      </c>
      <c r="C5" s="8" t="s">
        <v>151</v>
      </c>
    </row>
    <row r="7" customFormat="false" ht="15" hidden="false" customHeight="false" outlineLevel="0" collapsed="false">
      <c r="A7" s="9" t="s">
        <v>152</v>
      </c>
    </row>
    <row r="8" customFormat="false" ht="15" hidden="false" customHeight="false" outlineLevel="0" collapsed="false">
      <c r="A8" s="12" t="s">
        <v>2</v>
      </c>
      <c r="B8" s="12" t="s">
        <v>153</v>
      </c>
      <c r="C8" s="12" t="s">
        <v>154</v>
      </c>
    </row>
    <row r="9" customFormat="false" ht="15" hidden="false" customHeight="false" outlineLevel="0" collapsed="false">
      <c r="A9" s="10" t="s">
        <v>13</v>
      </c>
      <c r="B9" s="10" t="n">
        <f aca="false">COUNTIFS(Backlog!$C$2:$C$33,$A9)</f>
        <v>10</v>
      </c>
      <c r="C9" s="13" t="n">
        <f aca="false">SUMIFS(Backlog!$F$2:$F$33,Backlog!$C$2:$C$33,$A9)</f>
        <v>4.75</v>
      </c>
    </row>
    <row r="10" customFormat="false" ht="15" hidden="false" customHeight="false" outlineLevel="0" collapsed="false">
      <c r="A10" s="10" t="s">
        <v>63</v>
      </c>
      <c r="B10" s="10" t="n">
        <f aca="false">COUNTIFS(Backlog!$C$2:$C$33,$A10)</f>
        <v>19</v>
      </c>
      <c r="C10" s="13" t="n">
        <f aca="false">SUMIFS(Backlog!$F$2:$F$33,Backlog!$C$2:$C$33,$A10)</f>
        <v>59.35</v>
      </c>
    </row>
    <row r="11" customFormat="false" ht="15" hidden="false" customHeight="false" outlineLevel="0" collapsed="false">
      <c r="A11" s="10" t="s">
        <v>141</v>
      </c>
      <c r="B11" s="10" t="n">
        <f aca="false">COUNTIFS(Backlog!$C$2:$C$33,$A11)</f>
        <v>2</v>
      </c>
      <c r="C11" s="13" t="n">
        <f aca="false">SUMIFS(Backlog!$F$2:$F$33,Backlog!$C$2:$C$33,$A11)</f>
        <v>0</v>
      </c>
    </row>
    <row r="12" customFormat="false" ht="15" hidden="false" customHeight="false" outlineLevel="0" collapsed="false">
      <c r="A12" s="10" t="s">
        <v>134</v>
      </c>
      <c r="B12" s="10" t="n">
        <f aca="false">COUNTIFS(Backlog!$C$2:$C$33,$A12)</f>
        <v>1</v>
      </c>
      <c r="C12" s="13" t="n">
        <f aca="false">SUMIFS(Backlog!$F$2:$F$33,Backlog!$C$2:$C$33,$A12)</f>
        <v>0</v>
      </c>
    </row>
    <row r="13" customFormat="false" ht="15" hidden="false" customHeight="false" outlineLevel="0" collapsed="false">
      <c r="A13" s="9" t="s">
        <v>155</v>
      </c>
      <c r="B13" s="9" t="n">
        <f aca="false">SUM(B9:B12)</f>
        <v>32</v>
      </c>
      <c r="C13" s="14" t="n">
        <f aca="false">SUM(C9:C12)</f>
        <v>64.1</v>
      </c>
    </row>
    <row r="15" customFormat="false" ht="15" hidden="false" customHeight="false" outlineLevel="0" collapsed="false">
      <c r="A15" s="9" t="s">
        <v>156</v>
      </c>
    </row>
    <row r="16" customFormat="false" ht="15" hidden="false" customHeight="false" outlineLevel="0" collapsed="false">
      <c r="A16" s="12" t="s">
        <v>4</v>
      </c>
      <c r="B16" s="12" t="s">
        <v>153</v>
      </c>
      <c r="C16" s="12" t="s">
        <v>154</v>
      </c>
    </row>
    <row r="17" customFormat="false" ht="15" hidden="false" customHeight="false" outlineLevel="0" collapsed="false">
      <c r="A17" s="10" t="s">
        <v>15</v>
      </c>
      <c r="B17" s="10" t="n">
        <f aca="false">COUNTIFS(Backlog!$E$2:$E$33,$A17)</f>
        <v>9</v>
      </c>
      <c r="C17" s="13" t="n">
        <f aca="false">SUMIFS(Backlog!$F$2:$F$33,Backlog!$E$2:$E$33,$A17)</f>
        <v>8</v>
      </c>
    </row>
    <row r="18" customFormat="false" ht="15" hidden="false" customHeight="false" outlineLevel="0" collapsed="false">
      <c r="A18" s="10" t="s">
        <v>32</v>
      </c>
      <c r="B18" s="10" t="n">
        <f aca="false">COUNTIFS(Backlog!$E$2:$E$33,$A18)</f>
        <v>15</v>
      </c>
      <c r="C18" s="13" t="n">
        <f aca="false">SUMIFS(Backlog!$F$2:$F$33,Backlog!$E$2:$E$33,$A18)</f>
        <v>13.75</v>
      </c>
    </row>
    <row r="19" customFormat="false" ht="15" hidden="false" customHeight="false" outlineLevel="0" collapsed="false">
      <c r="A19" s="10" t="s">
        <v>53</v>
      </c>
      <c r="B19" s="10" t="n">
        <f aca="false">COUNTIFS(Backlog!$E$2:$E$33,$A19)</f>
        <v>4</v>
      </c>
      <c r="C19" s="13" t="n">
        <f aca="false">SUMIFS(Backlog!$F$2:$F$33,Backlog!$E$2:$E$33,$A19)</f>
        <v>41.25</v>
      </c>
    </row>
    <row r="20" customFormat="false" ht="15" hidden="false" customHeight="false" outlineLevel="0" collapsed="false">
      <c r="A20" s="10" t="s">
        <v>106</v>
      </c>
      <c r="B20" s="10" t="n">
        <f aca="false">COUNTIFS(Backlog!$E$2:$E$33,$A20)</f>
        <v>3</v>
      </c>
      <c r="C20" s="13" t="n">
        <f aca="false">SUMIFS(Backlog!$F$2:$F$33,Backlog!$E$2:$E$33,$A20)</f>
        <v>1.1</v>
      </c>
    </row>
    <row r="22" customFormat="false" ht="15" hidden="false" customHeight="false" outlineLevel="0" collapsed="false">
      <c r="A22" s="9" t="s">
        <v>157</v>
      </c>
    </row>
    <row r="23" customFormat="false" ht="15" hidden="false" customHeight="false" outlineLevel="0" collapsed="false">
      <c r="A23" s="12" t="s">
        <v>6</v>
      </c>
      <c r="B23" s="12" t="s">
        <v>153</v>
      </c>
      <c r="C23" s="12" t="s">
        <v>154</v>
      </c>
      <c r="D23" s="12" t="s">
        <v>158</v>
      </c>
      <c r="E23" s="12" t="s">
        <v>159</v>
      </c>
    </row>
    <row r="24" customFormat="false" ht="15" hidden="false" customHeight="false" outlineLevel="0" collapsed="false">
      <c r="A24" s="10" t="s">
        <v>16</v>
      </c>
      <c r="B24" s="10" t="n">
        <f aca="false">COUNTIFS(Backlog!$G$2:$G$33,$A24)</f>
        <v>11</v>
      </c>
      <c r="C24" s="13" t="n">
        <f aca="false">SUMIFS(Backlog!$F$2:$F$33,Backlog!$G$2:$G$33,$A24)</f>
        <v>5.35</v>
      </c>
      <c r="D24" s="13" t="n">
        <f aca="false">$B$5</f>
        <v>5</v>
      </c>
      <c r="E24" s="15" t="n">
        <f aca="false">D24-C24</f>
        <v>-0.35</v>
      </c>
    </row>
    <row r="25" customFormat="false" ht="15" hidden="false" customHeight="false" outlineLevel="0" collapsed="false">
      <c r="A25" s="10" t="s">
        <v>70</v>
      </c>
      <c r="B25" s="10" t="n">
        <f aca="false">COUNTIFS(Backlog!$G$2:$G$33,$A25)</f>
        <v>5</v>
      </c>
      <c r="C25" s="13" t="n">
        <f aca="false">SUMIFS(Backlog!$F$2:$F$33,Backlog!$G$2:$G$33,$A25)</f>
        <v>4.75</v>
      </c>
      <c r="D25" s="13" t="n">
        <f aca="false">$B$5</f>
        <v>5</v>
      </c>
      <c r="E25" s="15" t="n">
        <f aca="false">D25-C25</f>
        <v>0.25</v>
      </c>
    </row>
    <row r="26" customFormat="false" ht="15" hidden="false" customHeight="false" outlineLevel="0" collapsed="false">
      <c r="A26" s="10" t="s">
        <v>48</v>
      </c>
      <c r="B26" s="10" t="n">
        <f aca="false">COUNTIFS(Backlog!$G$2:$G$33,$A26)</f>
        <v>5</v>
      </c>
      <c r="C26" s="13" t="n">
        <f aca="false">SUMIFS(Backlog!$F$2:$F$33,Backlog!$G$2:$G$33,$A26)</f>
        <v>5</v>
      </c>
      <c r="D26" s="13" t="n">
        <f aca="false">$B$5</f>
        <v>5</v>
      </c>
      <c r="E26" s="15" t="n">
        <f aca="false">D26-C26</f>
        <v>0</v>
      </c>
    </row>
    <row r="27" customFormat="false" ht="15" hidden="false" customHeight="false" outlineLevel="0" collapsed="false">
      <c r="A27" s="10" t="s">
        <v>57</v>
      </c>
      <c r="B27" s="10" t="n">
        <f aca="false">COUNTIFS(Backlog!$G$2:$G$33,$A27)</f>
        <v>5</v>
      </c>
      <c r="C27" s="13" t="n">
        <f aca="false">SUMIFS(Backlog!$F$2:$F$33,Backlog!$G$2:$G$33,$A27)</f>
        <v>4</v>
      </c>
      <c r="D27" s="13" t="n">
        <f aca="false">$B$5</f>
        <v>5</v>
      </c>
      <c r="E27" s="15" t="n">
        <f aca="false">D27-C27</f>
        <v>1</v>
      </c>
    </row>
    <row r="28" customFormat="false" ht="15" hidden="false" customHeight="false" outlineLevel="0" collapsed="false">
      <c r="A28" s="10" t="s">
        <v>111</v>
      </c>
      <c r="B28" s="10" t="n">
        <f aca="false">COUNTIFS(Backlog!$G$2:$G$33,$A28)</f>
        <v>1</v>
      </c>
      <c r="C28" s="13" t="n">
        <f aca="false">SUMIFS(Backlog!$F$2:$F$33,Backlog!$G$2:$G$33,$A28)</f>
        <v>5</v>
      </c>
      <c r="D28" s="13" t="n">
        <f aca="false">$B$5</f>
        <v>5</v>
      </c>
      <c r="E28" s="15" t="n">
        <f aca="false">D28-C28</f>
        <v>0</v>
      </c>
    </row>
    <row r="29" customFormat="false" ht="15" hidden="false" customHeight="false" outlineLevel="0" collapsed="false">
      <c r="A29" s="10" t="s">
        <v>116</v>
      </c>
      <c r="B29" s="10" t="n">
        <f aca="false">COUNTIFS(Backlog!$G$2:$G$33,$A29)</f>
        <v>2</v>
      </c>
      <c r="C29" s="13" t="n">
        <f aca="false">SUMIFS(Backlog!$F$2:$F$33,Backlog!$G$2:$G$33,$A29)</f>
        <v>40</v>
      </c>
    </row>
    <row r="30" customFormat="false" ht="15" hidden="false" customHeight="false" outlineLevel="0" collapsed="false">
      <c r="A30" s="10" t="s">
        <v>136</v>
      </c>
      <c r="B30" s="10" t="n">
        <f aca="false">COUNTIFS(Backlog!$G$2:$G$33,$A30)</f>
        <v>3</v>
      </c>
      <c r="C30" s="13" t="n">
        <f aca="false">SUMIFS(Backlog!$F$2:$F$33,Backlog!$G$2:$G$33,$A30)</f>
        <v>0</v>
      </c>
    </row>
    <row r="31" customFormat="false" ht="15" hidden="false" customHeight="false" outlineLevel="0" collapsed="false">
      <c r="A31" s="9" t="s">
        <v>155</v>
      </c>
      <c r="B31" s="9" t="n">
        <f aca="false">SUM(B24:B30)</f>
        <v>32</v>
      </c>
      <c r="C31" s="14" t="n">
        <f aca="false">SUM(C24:C30)</f>
        <v>64.1</v>
      </c>
    </row>
    <row r="33" customFormat="false" ht="15" hidden="false" customHeight="false" outlineLevel="0" collapsed="false">
      <c r="A33" s="9" t="s">
        <v>160</v>
      </c>
    </row>
    <row r="34" customFormat="false" ht="15" hidden="false" customHeight="false" outlineLevel="0" collapsed="false">
      <c r="A34" s="10" t="s">
        <v>161</v>
      </c>
      <c r="C34" s="14" t="n">
        <f aca="false">C24</f>
        <v>5.35</v>
      </c>
    </row>
    <row r="35" customFormat="false" ht="15" hidden="false" customHeight="false" outlineLevel="0" collapsed="false">
      <c r="A35" s="10" t="s">
        <v>162</v>
      </c>
      <c r="C35" s="14" t="n">
        <f aca="false">C13</f>
        <v>64.1</v>
      </c>
    </row>
    <row r="36" customFormat="false" ht="15" hidden="false" customHeight="false" outlineLevel="0" collapsed="false">
      <c r="A36" s="10" t="s">
        <v>163</v>
      </c>
      <c r="C36" s="14" t="n">
        <f aca="false">C13-SUMIFS(Backlog!$F$2:$F$33,Backlog!$G$2:$G$33,"Month 2-3")</f>
        <v>24.1</v>
      </c>
    </row>
    <row r="37" customFormat="false" ht="15" hidden="false" customHeight="false" outlineLevel="0" collapsed="false">
      <c r="A37" s="10" t="s">
        <v>164</v>
      </c>
      <c r="C37" s="16" t="n">
        <f aca="false">(C13-SUMIFS(Backlog!$F$2:$F$33,Backlog!$G$2:$G$33,"Month 2-3"))/$B$5</f>
        <v>4.82</v>
      </c>
    </row>
    <row r="38" customFormat="false" ht="15" hidden="false" customHeight="false" outlineLevel="0" collapsed="false">
      <c r="A38" s="10" t="s">
        <v>165</v>
      </c>
      <c r="C38" s="17" t="n">
        <f aca="false">COUNTIFS(Backlog!$G$2:$G$33,"Week 1")/COUNTA(Backlog!$A$2:$A$33)</f>
        <v>0.34375</v>
      </c>
    </row>
    <row r="39" customFormat="false" ht="15" hidden="false" customHeight="false" outlineLevel="0" collapsed="false">
      <c r="A39" s="10" t="s">
        <v>166</v>
      </c>
      <c r="C39" s="17" t="n">
        <f aca="false">C24/(C13-SUMIFS(Backlog!$F$2:$F$33,Backlog!$G$2:$G$33,"Month 2-3"))</f>
        <v>0.221991701244813</v>
      </c>
    </row>
    <row r="40" customFormat="false" ht="15" hidden="false" customHeight="false" outlineLevel="0" collapsed="false">
      <c r="A40" s="10" t="s">
        <v>167</v>
      </c>
      <c r="C40" s="18" t="n">
        <f aca="false">COUNTIFS(Backlog!$J$2:$J$33,"Blocked")</f>
        <v>7</v>
      </c>
    </row>
    <row r="42" customFormat="false" ht="15" hidden="false" customHeight="false" outlineLevel="0" collapsed="false">
      <c r="A42" s="8" t="s">
        <v>168</v>
      </c>
    </row>
    <row r="43" customFormat="false" ht="15" hidden="false" customHeight="false" outlineLevel="0" collapsed="false">
      <c r="A43" s="8" t="s">
        <v>169</v>
      </c>
    </row>
    <row r="44" customFormat="false" ht="15" hidden="false" customHeight="false" outlineLevel="0" collapsed="false">
      <c r="A44" s="8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92"/>
  </cols>
  <sheetData>
    <row r="1" customFormat="false" ht="17.35" hidden="false" customHeight="false" outlineLevel="0" collapsed="false">
      <c r="A1" s="7" t="s">
        <v>171</v>
      </c>
    </row>
    <row r="2" customFormat="false" ht="15" hidden="false" customHeight="false" outlineLevel="0" collapsed="false">
      <c r="A2" s="8" t="s">
        <v>172</v>
      </c>
    </row>
    <row r="4" customFormat="false" ht="15" hidden="false" customHeight="false" outlineLevel="0" collapsed="false">
      <c r="A4" s="12" t="s">
        <v>173</v>
      </c>
      <c r="B4" s="12" t="s">
        <v>174</v>
      </c>
      <c r="C4" s="12" t="s">
        <v>175</v>
      </c>
      <c r="D4" s="12" t="s">
        <v>176</v>
      </c>
    </row>
    <row r="5" customFormat="false" ht="45.75" hidden="false" customHeight="true" outlineLevel="0" collapsed="false">
      <c r="A5" s="10" t="n">
        <v>1</v>
      </c>
      <c r="B5" s="19" t="s">
        <v>177</v>
      </c>
      <c r="C5" s="10" t="s">
        <v>48</v>
      </c>
      <c r="D5" s="20" t="s">
        <v>178</v>
      </c>
    </row>
    <row r="6" customFormat="false" ht="45.75" hidden="false" customHeight="true" outlineLevel="0" collapsed="false">
      <c r="A6" s="10" t="n">
        <v>2</v>
      </c>
      <c r="B6" s="19" t="s">
        <v>179</v>
      </c>
      <c r="C6" s="10" t="s">
        <v>180</v>
      </c>
      <c r="D6" s="20" t="s">
        <v>181</v>
      </c>
    </row>
    <row r="7" customFormat="false" ht="45.75" hidden="false" customHeight="true" outlineLevel="0" collapsed="false">
      <c r="A7" s="10" t="n">
        <v>3</v>
      </c>
      <c r="B7" s="19" t="s">
        <v>182</v>
      </c>
      <c r="C7" s="10" t="s">
        <v>57</v>
      </c>
      <c r="D7" s="20" t="s">
        <v>183</v>
      </c>
    </row>
    <row r="8" customFormat="false" ht="45.75" hidden="false" customHeight="true" outlineLevel="0" collapsed="false">
      <c r="A8" s="10" t="n">
        <v>4</v>
      </c>
      <c r="B8" s="19" t="s">
        <v>184</v>
      </c>
      <c r="C8" s="10" t="s">
        <v>48</v>
      </c>
      <c r="D8" s="20" t="s">
        <v>185</v>
      </c>
    </row>
    <row r="9" customFormat="false" ht="45.75" hidden="false" customHeight="true" outlineLevel="0" collapsed="false">
      <c r="A9" s="10" t="n">
        <v>5</v>
      </c>
      <c r="B9" s="19" t="s">
        <v>186</v>
      </c>
      <c r="C9" s="10" t="s">
        <v>57</v>
      </c>
      <c r="D9" s="20" t="s">
        <v>187</v>
      </c>
    </row>
    <row r="10" customFormat="false" ht="45.75" hidden="false" customHeight="true" outlineLevel="0" collapsed="false">
      <c r="A10" s="10" t="n">
        <v>6</v>
      </c>
      <c r="B10" s="19" t="s">
        <v>188</v>
      </c>
      <c r="C10" s="10" t="s">
        <v>16</v>
      </c>
      <c r="D10" s="20" t="s">
        <v>189</v>
      </c>
    </row>
    <row r="11" customFormat="false" ht="45.75" hidden="false" customHeight="true" outlineLevel="0" collapsed="false">
      <c r="A11" s="10" t="n">
        <v>7</v>
      </c>
      <c r="B11" s="19" t="s">
        <v>190</v>
      </c>
      <c r="C11" s="10" t="s">
        <v>16</v>
      </c>
      <c r="D11" s="20" t="s">
        <v>191</v>
      </c>
    </row>
    <row r="12" customFormat="false" ht="45.75" hidden="false" customHeight="true" outlineLevel="0" collapsed="false">
      <c r="A12" s="10" t="n">
        <v>8</v>
      </c>
      <c r="B12" s="19" t="s">
        <v>192</v>
      </c>
      <c r="C12" s="10" t="s">
        <v>57</v>
      </c>
      <c r="D12" s="20" t="s">
        <v>193</v>
      </c>
    </row>
    <row r="13" customFormat="false" ht="45.75" hidden="false" customHeight="true" outlineLevel="0" collapsed="false">
      <c r="A13" s="10" t="n">
        <v>9</v>
      </c>
      <c r="B13" s="19" t="s">
        <v>194</v>
      </c>
      <c r="C13" s="10" t="s">
        <v>180</v>
      </c>
      <c r="D13" s="20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2026-09-04T12:43:38Z</dcterms:created>
  <dc:creator>openpyxl</dc:creator>
  <dc:description/>
  <dc:language>en-US</dc:language>
  <cp:lastModifiedBy/>
  <dcterms:modified xsi:type="dcterms:W3CDTF">2026-09-04T12:43:38Z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